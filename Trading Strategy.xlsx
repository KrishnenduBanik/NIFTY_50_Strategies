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9029"/>
  <workbookPr defaultThemeVersion="166925"/>
  <mc:AlternateContent xmlns:mc="http://schemas.openxmlformats.org/markup-compatibility/2006">
    <mc:Choice Requires="x15">
      <x15ac:absPath xmlns:x15ac="http://schemas.microsoft.com/office/spreadsheetml/2010/11/ac" url="C:\Users\Deys\Desktop\"/>
    </mc:Choice>
  </mc:AlternateContent>
  <bookViews>
    <workbookView xWindow="0" yWindow="0" windowWidth="15345" windowHeight="4455"/>
  </bookViews>
  <sheets>
    <sheet name="Sheet1" sheetId="1" r:id="rId1"/>
  </sheets>
  <definedNames>
    <definedName name="_xlnm.Print_Area" localSheetId="0">Sheet1!$A$1:$AU$57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0" i="1" l="1"/>
  <c r="Q60" i="1"/>
  <c r="P60" i="1"/>
  <c r="G60" i="1"/>
  <c r="N60" i="1"/>
  <c r="M60" i="1"/>
  <c r="L60" i="1"/>
  <c r="K60" i="1"/>
  <c r="J60" i="1"/>
  <c r="I60" i="1"/>
  <c r="H60" i="1"/>
  <c r="F60" i="1"/>
  <c r="E60" i="1"/>
  <c r="D60" i="1"/>
  <c r="C60" i="1"/>
  <c r="O13" i="1" l="1"/>
  <c r="O60" i="1" s="1"/>
</calcChain>
</file>

<file path=xl/sharedStrings.xml><?xml version="1.0" encoding="utf-8"?>
<sst xmlns="http://schemas.openxmlformats.org/spreadsheetml/2006/main" count="82" uniqueCount="80">
  <si>
    <t>COMPARING STRATIGIES</t>
  </si>
  <si>
    <t>Strategy</t>
  </si>
  <si>
    <t>Buy &amp; Hold</t>
  </si>
  <si>
    <t>Mean reversion</t>
  </si>
  <si>
    <t>RSI Strategy</t>
  </si>
  <si>
    <t>Momentum(20,50)</t>
  </si>
  <si>
    <t>About</t>
  </si>
  <si>
    <t>Bollinger band strategy where middle band is 20 SMA, upper &amp; lower band is +- sd, buy when touches lower band, best for ranginng/sidemarket</t>
  </si>
  <si>
    <t>Short MA is 20 days and long MA is 50 days, buy when SMA crosses above LMA(golden cross) and sell when SMA crosses below LMA(death cross), best for strong tending markets)</t>
  </si>
  <si>
    <t>RSI when above 70 is overbrought and less than 30 is oversold, buy when RSI&lt;30, best for identifying reversal points</t>
  </si>
  <si>
    <t>Timeline</t>
  </si>
  <si>
    <t>01/01/2021 - 17/11/2025</t>
  </si>
  <si>
    <t>Company</t>
  </si>
  <si>
    <t>RELIANCE</t>
  </si>
  <si>
    <t>BHARTI  AIRTEL</t>
  </si>
  <si>
    <t>HDFCBANK</t>
  </si>
  <si>
    <t>TCS</t>
  </si>
  <si>
    <t>SBI</t>
  </si>
  <si>
    <t>ICICIBANK</t>
  </si>
  <si>
    <t>INFOSYS</t>
  </si>
  <si>
    <t>KOTAKBANK</t>
  </si>
  <si>
    <t>HINDUNILVR</t>
  </si>
  <si>
    <t>ITC</t>
  </si>
  <si>
    <t>ASIANPAINTS</t>
  </si>
  <si>
    <t>BAJAJ FINANCE</t>
  </si>
  <si>
    <t>WIPRO</t>
  </si>
  <si>
    <t>HCLTECH</t>
  </si>
  <si>
    <t>SUNPHARMA</t>
  </si>
  <si>
    <t>AXISBANK</t>
  </si>
  <si>
    <t>MARUTI</t>
  </si>
  <si>
    <t>TITAN</t>
  </si>
  <si>
    <t>NESTLEIND</t>
  </si>
  <si>
    <t>ONGC</t>
  </si>
  <si>
    <t>POWERGRID</t>
  </si>
  <si>
    <t>NTPC</t>
  </si>
  <si>
    <t>ULTRATECH CEMENT</t>
  </si>
  <si>
    <t>MAHINDRA&amp;MAHINDRA</t>
  </si>
  <si>
    <t>LARSAN&amp;TURBO</t>
  </si>
  <si>
    <t>TECH MAHINDRA</t>
  </si>
  <si>
    <t>ADANIENT</t>
  </si>
  <si>
    <t>ADANIPORTS</t>
  </si>
  <si>
    <t>APOLLOHOSP</t>
  </si>
  <si>
    <t>BAJAJ-AUTO</t>
  </si>
  <si>
    <t>BAJAJFINSV</t>
  </si>
  <si>
    <t>BHARAT ELECTRONICS</t>
  </si>
  <si>
    <t>CIPLA</t>
  </si>
  <si>
    <t>COALINDIA</t>
  </si>
  <si>
    <t>DRREDDY</t>
  </si>
  <si>
    <t>EICHER MOTORS</t>
  </si>
  <si>
    <t>ETERNAL</t>
  </si>
  <si>
    <t>GRASIM INDUSTRIES</t>
  </si>
  <si>
    <t>HDFCLIFE</t>
  </si>
  <si>
    <t>HINDALCO INDUSTRIES</t>
  </si>
  <si>
    <t>INDIGO</t>
  </si>
  <si>
    <t>JSWSTEEL</t>
  </si>
  <si>
    <t>JIO FINANCE</t>
  </si>
  <si>
    <t>MAXHEALTH</t>
  </si>
  <si>
    <t>SBILIFE</t>
  </si>
  <si>
    <t>SHRIRAMFIN</t>
  </si>
  <si>
    <t>TATA CONSUMER PRODUCTS</t>
  </si>
  <si>
    <t>Tata Motors Passenger Vehicles</t>
  </si>
  <si>
    <t>TATASTEEL</t>
  </si>
  <si>
    <t>TRENT LIMITED</t>
  </si>
  <si>
    <t>Total Return BH</t>
  </si>
  <si>
    <t>Sharpe Ratio BH</t>
  </si>
  <si>
    <t>Max Drawdown BH</t>
  </si>
  <si>
    <t>Winrate BH</t>
  </si>
  <si>
    <t>Total Return BB</t>
  </si>
  <si>
    <t>Sharpe Ratio BB</t>
  </si>
  <si>
    <t>Max Drawdown BB</t>
  </si>
  <si>
    <t>Winrate BB</t>
  </si>
  <si>
    <t>Total Return RSI</t>
  </si>
  <si>
    <t>Sharpe Ratio RSI</t>
  </si>
  <si>
    <t>Max Drawdown RSI</t>
  </si>
  <si>
    <t>Winrate RSI</t>
  </si>
  <si>
    <t>Total Return MM</t>
  </si>
  <si>
    <t>Sharpe Ratio MM</t>
  </si>
  <si>
    <t>Max Drawdown MM</t>
  </si>
  <si>
    <t>Winrate MM</t>
  </si>
  <si>
    <t>Mean reversion(Bollinger Band)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</si>
</sst>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sz val="11"/>
      <color rgb="FFFF0000"/>
      <name val="Calibri"/>
      <family val="2"/>
      <scheme val="minor"/>
    </font>
    <font>
      <b/>
      <sz val="11"/>
      <color theme="1"/>
      <name val="Calibri"/>
      <family val="2"/>
      <scheme val="minor"/>
    </font>
    <font>
      <b/>
      <sz val="16"/>
      <color theme="1"/>
      <name val="Calibri"/>
      <family val="2"/>
      <scheme val="minor"/>
    </font>
    <font>
      <b/>
      <sz val="14"/>
      <color theme="1"/>
      <name val="Calibri"/>
      <family val="2"/>
      <scheme val="minor"/>
    </font>
    <font>
      <i/>
      <u/>
      <sz val="11"/>
      <color theme="1"/>
      <name val="Calibri"/>
      <family val="2"/>
      <scheme val="minor"/>
    </font>
    <font>
      <sz val="11"/>
      <color theme="1"/>
      <name val="Calibri"/>
      <family val="2"/>
      <scheme val="minor"/>
    </font>
    <font>
      <sz val="10"/>
      <color rgb="FF0F1115"/>
      <name val="Consolas"/>
      <family val="3"/>
    </font>
    <font>
      <b/>
      <sz val="14"/>
      <color theme="1"/>
      <name val="Consolas"/>
      <family val="3"/>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color rgb="FF0F1115"/>
      <name val="Arial Black"/>
      <family val="2"/>
    </font>
    <font>
      <sz val="11"/>
      <color rgb="FF0F1115"/>
      <name val="Calibri"/>
      <family val="2"/>
      <scheme val="minor"/>
    </font>
  </fonts>
  <fills count="38">
    <fill>
      <patternFill patternType="none"/>
    </fill>
    <fill>
      <patternFill patternType="gray125"/>
    </fill>
    <fill>
      <patternFill patternType="solid">
        <fgColor theme="6" tint="0.39997558519241921"/>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6" fillId="0" borderId="0" applyFont="0" applyFill="0" applyBorder="0" applyAlignment="0" applyProtection="0"/>
    <xf numFmtId="0" fontId="9" fillId="0" borderId="0" applyNumberFormat="0" applyFill="0" applyBorder="0" applyAlignment="0" applyProtection="0"/>
    <xf numFmtId="0" fontId="10" fillId="0" borderId="1" applyNumberFormat="0" applyFill="0" applyAlignment="0" applyProtection="0"/>
    <xf numFmtId="0" fontId="11" fillId="0" borderId="2" applyNumberFormat="0" applyFill="0" applyAlignment="0" applyProtection="0"/>
    <xf numFmtId="0" fontId="12" fillId="0" borderId="3" applyNumberFormat="0" applyFill="0" applyAlignment="0" applyProtection="0"/>
    <xf numFmtId="0" fontId="12" fillId="0" borderId="0" applyNumberFormat="0" applyFill="0" applyBorder="0" applyAlignment="0" applyProtection="0"/>
    <xf numFmtId="0" fontId="13" fillId="6" borderId="0" applyNumberFormat="0" applyBorder="0" applyAlignment="0" applyProtection="0"/>
    <xf numFmtId="0" fontId="14" fillId="7" borderId="0" applyNumberFormat="0" applyBorder="0" applyAlignment="0" applyProtection="0"/>
    <xf numFmtId="0" fontId="15" fillId="8" borderId="0" applyNumberFormat="0" applyBorder="0" applyAlignment="0" applyProtection="0"/>
    <xf numFmtId="0" fontId="16" fillId="9" borderId="4" applyNumberFormat="0" applyAlignment="0" applyProtection="0"/>
    <xf numFmtId="0" fontId="17" fillId="10" borderId="5" applyNumberFormat="0" applyAlignment="0" applyProtection="0"/>
    <xf numFmtId="0" fontId="18" fillId="10" borderId="4" applyNumberFormat="0" applyAlignment="0" applyProtection="0"/>
    <xf numFmtId="0" fontId="19" fillId="0" borderId="6" applyNumberFormat="0" applyFill="0" applyAlignment="0" applyProtection="0"/>
    <xf numFmtId="0" fontId="20" fillId="11" borderId="7" applyNumberFormat="0" applyAlignment="0" applyProtection="0"/>
    <xf numFmtId="0" fontId="1" fillId="0" borderId="0" applyNumberFormat="0" applyFill="0" applyBorder="0" applyAlignment="0" applyProtection="0"/>
    <xf numFmtId="0" fontId="6" fillId="12" borderId="8" applyNumberFormat="0" applyFont="0" applyAlignment="0" applyProtection="0"/>
    <xf numFmtId="0" fontId="21" fillId="0" borderId="0" applyNumberFormat="0" applyFill="0" applyBorder="0" applyAlignment="0" applyProtection="0"/>
    <xf numFmtId="0" fontId="2" fillId="0" borderId="9" applyNumberFormat="0" applyFill="0" applyAlignment="0" applyProtection="0"/>
    <xf numFmtId="0" fontId="22"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22"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22"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2"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2"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2"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cellStyleXfs>
  <cellXfs count="23">
    <xf numFmtId="0" fontId="0" fillId="0" borderId="0" xfId="0"/>
    <xf numFmtId="0" fontId="2" fillId="0" borderId="0" xfId="0" applyFont="1"/>
    <xf numFmtId="0" fontId="3" fillId="0" borderId="0" xfId="0" applyFont="1"/>
    <xf numFmtId="10" fontId="0" fillId="0" borderId="0" xfId="0" applyNumberFormat="1"/>
    <xf numFmtId="0" fontId="5" fillId="0" borderId="0" xfId="0" applyFont="1"/>
    <xf numFmtId="0" fontId="0" fillId="0" borderId="0" xfId="0" applyFont="1"/>
    <xf numFmtId="0" fontId="0" fillId="2" borderId="0" xfId="0" applyFill="1"/>
    <xf numFmtId="0" fontId="0" fillId="3" borderId="0" xfId="0" applyFill="1"/>
    <xf numFmtId="0" fontId="0" fillId="4" borderId="0" xfId="0" applyFill="1"/>
    <xf numFmtId="0" fontId="1" fillId="4" borderId="0" xfId="0" applyFont="1" applyFill="1"/>
    <xf numFmtId="0" fontId="0" fillId="5" borderId="0" xfId="0" applyFill="1"/>
    <xf numFmtId="2" fontId="0" fillId="0" borderId="0" xfId="0" applyNumberFormat="1"/>
    <xf numFmtId="0" fontId="0" fillId="0" borderId="0" xfId="0" applyNumberFormat="1"/>
    <xf numFmtId="0" fontId="0" fillId="0" borderId="0" xfId="0" applyNumberFormat="1" applyFont="1"/>
    <xf numFmtId="10" fontId="0" fillId="0" borderId="0" xfId="1" applyNumberFormat="1" applyFont="1"/>
    <xf numFmtId="0" fontId="4" fillId="0" borderId="0" xfId="0" applyFont="1" applyAlignment="1"/>
    <xf numFmtId="0" fontId="8" fillId="0" borderId="0" xfId="0" applyFont="1" applyAlignment="1">
      <alignment vertical="center"/>
    </xf>
    <xf numFmtId="0" fontId="7" fillId="0" borderId="0" xfId="0" applyFont="1" applyAlignment="1">
      <alignment horizontal="left" vertical="center" indent="1"/>
    </xf>
    <xf numFmtId="0" fontId="0" fillId="0" borderId="0" xfId="0" quotePrefix="1"/>
    <xf numFmtId="0" fontId="23" fillId="0" borderId="0" xfId="0" applyFont="1" applyAlignment="1">
      <alignment horizontal="left" vertical="center" indent="1"/>
    </xf>
    <xf numFmtId="10" fontId="24" fillId="0" borderId="0" xfId="0" applyNumberFormat="1" applyFont="1" applyAlignment="1">
      <alignment horizontal="center" vertical="center"/>
    </xf>
    <xf numFmtId="10" fontId="0" fillId="0" borderId="0" xfId="0" applyNumberFormat="1" applyBorder="1"/>
    <xf numFmtId="10" fontId="0" fillId="37" borderId="10" xfId="0" applyNumberFormat="1" applyFill="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8">
    <dxf>
      <font>
        <b val="0"/>
        <i val="0"/>
        <strike val="0"/>
        <condense val="0"/>
        <extend val="0"/>
        <outline val="0"/>
        <shadow val="0"/>
        <u val="none"/>
        <vertAlign val="baseline"/>
        <sz val="11"/>
        <color theme="1"/>
        <name val="Calibri"/>
        <family val="2"/>
        <scheme val="minor"/>
      </font>
    </dxf>
    <dxf>
      <numFmt numFmtId="14" formatCode="0.00%"/>
    </dxf>
    <dxf>
      <numFmt numFmtId="14" formatCode="0.00%"/>
    </dxf>
    <dxf>
      <numFmt numFmtId="2"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2" formatCode="0.00"/>
    </dxf>
    <dxf>
      <numFmt numFmtId="14" formatCode="0.00%"/>
    </dxf>
    <dxf>
      <font>
        <b/>
        <i val="0"/>
        <strike val="0"/>
        <condense val="0"/>
        <extend val="0"/>
        <outline val="0"/>
        <shadow val="0"/>
        <u val="none"/>
        <vertAlign val="baseline"/>
        <sz val="14"/>
        <color theme="1"/>
        <name val="Calibri"/>
        <family val="2"/>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id="2" name="Table2" displayName="Table2" ref="A9:Q59" totalsRowShown="0" headerRowDxfId="0">
  <autoFilter ref="A9:Q59"/>
  <tableColumns count="17">
    <tableColumn id="1" name="Company" dataDxfId="17"/>
    <tableColumn id="2" name="Total Return BH" dataDxfId="16"/>
    <tableColumn id="3" name="Sharpe Ratio BH" dataDxfId="15"/>
    <tableColumn id="4" name="Max Drawdown BH" dataDxfId="14"/>
    <tableColumn id="5" name="Winrate BH" dataDxfId="13"/>
    <tableColumn id="6" name="Total Return BB" dataDxfId="12"/>
    <tableColumn id="7" name="Sharpe Ratio BB" dataDxfId="11"/>
    <tableColumn id="8" name="Max Drawdown BB" dataDxfId="10"/>
    <tableColumn id="9" name="Winrate BB" dataDxfId="9"/>
    <tableColumn id="10" name="Total Return RSI" dataDxfId="8"/>
    <tableColumn id="11" name="Sharpe Ratio RSI" dataDxfId="7"/>
    <tableColumn id="12" name="Max Drawdown RSI" dataDxfId="6"/>
    <tableColumn id="13" name="Winrate RSI" dataDxfId="5"/>
    <tableColumn id="14" name="Total Return MM" dataDxfId="4"/>
    <tableColumn id="15" name="Sharpe Ratio MM" dataDxfId="3"/>
    <tableColumn id="16" name="Max Drawdown MM" dataDxfId="2"/>
    <tableColumn id="17" name="Winrate MM"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7"/>
  <sheetViews>
    <sheetView tabSelected="1" zoomScale="85" zoomScaleNormal="85" zoomScaleSheetLayoutView="85" workbookViewId="0">
      <selection activeCell="D7" sqref="D7"/>
    </sheetView>
  </sheetViews>
  <sheetFormatPr defaultRowHeight="15" x14ac:dyDescent="0.25"/>
  <cols>
    <col min="1" max="1" width="38.42578125" bestFit="1" customWidth="1"/>
    <col min="2" max="2" width="16.85546875" customWidth="1"/>
    <col min="3" max="3" width="17.5703125" bestFit="1" customWidth="1"/>
    <col min="4" max="4" width="20.42578125" bestFit="1" customWidth="1"/>
    <col min="5" max="5" width="13.5703125" bestFit="1" customWidth="1"/>
    <col min="6" max="6" width="17.140625" bestFit="1" customWidth="1"/>
    <col min="7" max="7" width="17.7109375" bestFit="1" customWidth="1"/>
    <col min="8" max="8" width="20.28515625" bestFit="1" customWidth="1"/>
    <col min="9" max="9" width="13.42578125" bestFit="1" customWidth="1"/>
    <col min="10" max="10" width="17.42578125" bestFit="1" customWidth="1"/>
    <col min="11" max="11" width="17.85546875" bestFit="1" customWidth="1"/>
    <col min="12" max="12" width="20.7109375" bestFit="1" customWidth="1"/>
    <col min="13" max="13" width="13.7109375" bestFit="1" customWidth="1"/>
    <col min="14" max="14" width="18.42578125" bestFit="1" customWidth="1"/>
    <col min="15" max="15" width="18.7109375" bestFit="1" customWidth="1"/>
    <col min="16" max="16" width="21.5703125" bestFit="1" customWidth="1"/>
    <col min="17" max="17" width="15.42578125" bestFit="1" customWidth="1"/>
  </cols>
  <sheetData>
    <row r="1" spans="1:17" ht="21" x14ac:dyDescent="0.35">
      <c r="G1" s="2" t="s">
        <v>0</v>
      </c>
    </row>
    <row r="2" spans="1:17" x14ac:dyDescent="0.25">
      <c r="A2" s="1" t="s">
        <v>6</v>
      </c>
    </row>
    <row r="3" spans="1:17" x14ac:dyDescent="0.25">
      <c r="A3" s="4" t="s">
        <v>3</v>
      </c>
      <c r="B3" t="s">
        <v>7</v>
      </c>
    </row>
    <row r="4" spans="1:17" x14ac:dyDescent="0.25">
      <c r="A4" s="4" t="s">
        <v>4</v>
      </c>
      <c r="B4" t="s">
        <v>9</v>
      </c>
    </row>
    <row r="5" spans="1:17" x14ac:dyDescent="0.25">
      <c r="A5" s="4" t="s">
        <v>5</v>
      </c>
      <c r="B5" t="s">
        <v>8</v>
      </c>
    </row>
    <row r="6" spans="1:17" x14ac:dyDescent="0.25">
      <c r="A6" s="4" t="s">
        <v>10</v>
      </c>
      <c r="B6" s="1" t="s">
        <v>11</v>
      </c>
      <c r="C6" s="1"/>
    </row>
    <row r="8" spans="1:17" x14ac:dyDescent="0.25">
      <c r="A8" s="5" t="s">
        <v>1</v>
      </c>
      <c r="B8" s="8"/>
      <c r="C8" s="8" t="s">
        <v>2</v>
      </c>
      <c r="D8" s="8"/>
      <c r="E8" s="9"/>
      <c r="F8" s="7"/>
      <c r="G8" s="7" t="s">
        <v>79</v>
      </c>
      <c r="H8" s="7"/>
      <c r="I8" s="7"/>
      <c r="J8" s="6"/>
      <c r="K8" s="6" t="s">
        <v>4</v>
      </c>
      <c r="L8" s="6"/>
      <c r="M8" s="6"/>
      <c r="N8" s="10"/>
      <c r="O8" s="10" t="s">
        <v>5</v>
      </c>
      <c r="P8" s="10"/>
      <c r="Q8" s="10"/>
    </row>
    <row r="9" spans="1:17" x14ac:dyDescent="0.25">
      <c r="A9" s="1" t="s">
        <v>12</v>
      </c>
      <c r="B9" s="5" t="s">
        <v>63</v>
      </c>
      <c r="C9" s="5" t="s">
        <v>64</v>
      </c>
      <c r="D9" s="5" t="s">
        <v>65</v>
      </c>
      <c r="E9" s="5" t="s">
        <v>66</v>
      </c>
      <c r="F9" s="5" t="s">
        <v>67</v>
      </c>
      <c r="G9" s="5" t="s">
        <v>68</v>
      </c>
      <c r="H9" s="5" t="s">
        <v>69</v>
      </c>
      <c r="I9" s="5" t="s">
        <v>70</v>
      </c>
      <c r="J9" s="5" t="s">
        <v>71</v>
      </c>
      <c r="K9" s="5" t="s">
        <v>72</v>
      </c>
      <c r="L9" s="5" t="s">
        <v>73</v>
      </c>
      <c r="M9" s="5" t="s">
        <v>74</v>
      </c>
      <c r="N9" s="5" t="s">
        <v>75</v>
      </c>
      <c r="O9" s="5" t="s">
        <v>76</v>
      </c>
      <c r="P9" s="5" t="s">
        <v>77</v>
      </c>
      <c r="Q9" s="5" t="s">
        <v>78</v>
      </c>
    </row>
    <row r="10" spans="1:17" ht="18.75" x14ac:dyDescent="0.3">
      <c r="A10" s="15" t="s">
        <v>13</v>
      </c>
      <c r="B10" s="22">
        <v>0.65529999999999999</v>
      </c>
      <c r="C10">
        <v>0.56999999999999995</v>
      </c>
      <c r="D10" s="3">
        <v>-0.2742</v>
      </c>
      <c r="E10" s="3">
        <v>0.51949999999999996</v>
      </c>
      <c r="F10" s="3">
        <v>-0.14099999999999999</v>
      </c>
      <c r="G10">
        <v>-0.36</v>
      </c>
      <c r="H10" s="3">
        <v>-0.19040000000000001</v>
      </c>
      <c r="I10" s="3">
        <v>4.7199999999999999E-2</v>
      </c>
      <c r="J10" s="3">
        <v>-0.2482</v>
      </c>
      <c r="K10">
        <v>-0.46</v>
      </c>
      <c r="L10" s="3">
        <v>-0.29039999999999999</v>
      </c>
      <c r="M10" s="3">
        <v>0.13669999999999999</v>
      </c>
      <c r="N10" s="3">
        <v>-0.40660000000000002</v>
      </c>
      <c r="O10" s="13">
        <v>-0.37</v>
      </c>
      <c r="P10" s="3">
        <v>-0.63749999999999996</v>
      </c>
      <c r="Q10" s="3">
        <v>0.46729999999999999</v>
      </c>
    </row>
    <row r="11" spans="1:17" ht="18.75" x14ac:dyDescent="0.3">
      <c r="A11" s="15" t="s">
        <v>14</v>
      </c>
      <c r="B11" s="3">
        <v>3.2713000000000001</v>
      </c>
      <c r="C11">
        <v>1.44</v>
      </c>
      <c r="D11" s="3">
        <v>-0.17369999999999999</v>
      </c>
      <c r="E11" s="3">
        <v>0.52110000000000001</v>
      </c>
      <c r="F11" s="3">
        <v>-0.2157</v>
      </c>
      <c r="G11" s="11">
        <v>-0.66</v>
      </c>
      <c r="H11" s="3">
        <v>-0.3125</v>
      </c>
      <c r="I11" s="3">
        <v>5.1400000000000001E-2</v>
      </c>
      <c r="J11" s="3">
        <v>-0.1525</v>
      </c>
      <c r="K11">
        <v>-0.25</v>
      </c>
      <c r="L11" s="3">
        <v>-0.24690000000000001</v>
      </c>
      <c r="M11" s="3">
        <v>0.11600000000000001</v>
      </c>
      <c r="N11" s="3">
        <v>0.33789999999999998</v>
      </c>
      <c r="O11" s="11">
        <v>0.38</v>
      </c>
      <c r="P11" s="3">
        <v>-0.42220000000000002</v>
      </c>
      <c r="Q11" s="3">
        <v>0.52110000000000001</v>
      </c>
    </row>
    <row r="12" spans="1:17" ht="18.75" x14ac:dyDescent="0.3">
      <c r="A12" s="15" t="s">
        <v>15</v>
      </c>
      <c r="B12" s="3">
        <v>0.39589999999999997</v>
      </c>
      <c r="C12">
        <v>0.43</v>
      </c>
      <c r="D12" s="3">
        <v>-0.24129999999999999</v>
      </c>
      <c r="E12" s="3">
        <v>0.51619999999999999</v>
      </c>
      <c r="F12" s="3">
        <v>-0.22819999999999999</v>
      </c>
      <c r="G12" s="11">
        <v>-0.67</v>
      </c>
      <c r="H12" s="3">
        <v>-0.25800000000000001</v>
      </c>
      <c r="I12" s="3">
        <v>3.8899999999999997E-2</v>
      </c>
      <c r="J12" s="3">
        <v>-0.2006</v>
      </c>
      <c r="K12" s="12">
        <v>-0.41</v>
      </c>
      <c r="L12" s="3">
        <v>-0.29299999999999998</v>
      </c>
      <c r="M12" s="3">
        <v>0.1193</v>
      </c>
      <c r="N12" s="3">
        <v>-0.7238</v>
      </c>
      <c r="O12" s="12">
        <v>-1.17</v>
      </c>
      <c r="P12" s="3">
        <v>-0.76100000000000001</v>
      </c>
      <c r="Q12" s="3">
        <v>0.45900000000000002</v>
      </c>
    </row>
    <row r="13" spans="1:17" ht="18.75" x14ac:dyDescent="0.3">
      <c r="A13" s="15" t="s">
        <v>16</v>
      </c>
      <c r="B13" s="3">
        <v>7.4899999999999994E-2</v>
      </c>
      <c r="C13" s="12">
        <v>0.18</v>
      </c>
      <c r="D13" s="3">
        <v>-0.36570000000000003</v>
      </c>
      <c r="E13" s="3">
        <v>0.48959999999999998</v>
      </c>
      <c r="F13" s="3">
        <v>-0.2351</v>
      </c>
      <c r="G13" s="12">
        <v>-0.9</v>
      </c>
      <c r="H13" s="3">
        <v>-0.24909999999999999</v>
      </c>
      <c r="I13" s="3">
        <v>4.9700000000000001E-2</v>
      </c>
      <c r="J13" s="3">
        <v>-0.23899999999999999</v>
      </c>
      <c r="K13" s="12">
        <v>-0.52</v>
      </c>
      <c r="L13" s="3">
        <v>-0.31069999999999998</v>
      </c>
      <c r="M13" s="3">
        <v>0.12839999999999999</v>
      </c>
      <c r="N13" s="3">
        <v>-0.59470000000000001</v>
      </c>
      <c r="O13" s="12">
        <f>D19-0.81</f>
        <v>-1.0547</v>
      </c>
      <c r="P13" s="3">
        <v>-0.6351</v>
      </c>
      <c r="Q13" s="3">
        <v>0.46060000000000001</v>
      </c>
    </row>
    <row r="14" spans="1:17" ht="18.75" x14ac:dyDescent="0.3">
      <c r="A14" s="15" t="s">
        <v>17</v>
      </c>
      <c r="B14" s="3">
        <v>2.5173999999999999</v>
      </c>
      <c r="C14" s="12">
        <v>1.1200000000000001</v>
      </c>
      <c r="D14" s="3">
        <v>-0.2394</v>
      </c>
      <c r="E14" s="3">
        <v>0.53849999999999998</v>
      </c>
      <c r="F14" s="3">
        <v>-0.2455</v>
      </c>
      <c r="G14" s="12">
        <v>-0.45</v>
      </c>
      <c r="H14" s="3">
        <v>-0.32479999999999998</v>
      </c>
      <c r="I14" s="3">
        <v>4.7199999999999999E-2</v>
      </c>
      <c r="J14" s="3">
        <v>-0.36249999999999999</v>
      </c>
      <c r="K14" s="12">
        <v>-0.57999999999999996</v>
      </c>
      <c r="L14" s="3">
        <v>-0.39050000000000001</v>
      </c>
      <c r="M14" s="3">
        <v>0.1326</v>
      </c>
      <c r="N14" s="3">
        <v>-0.22570000000000001</v>
      </c>
      <c r="O14" s="12">
        <v>-0.08</v>
      </c>
      <c r="P14" s="3">
        <v>-0.62409999999999999</v>
      </c>
      <c r="Q14" s="3">
        <v>0.48299999999999998</v>
      </c>
    </row>
    <row r="15" spans="1:17" ht="18.75" x14ac:dyDescent="0.3">
      <c r="A15" s="15" t="s">
        <v>18</v>
      </c>
      <c r="B15" s="3">
        <v>1.7109000000000001</v>
      </c>
      <c r="C15" s="12">
        <v>1.05</v>
      </c>
      <c r="D15" s="3">
        <v>-0.2233</v>
      </c>
      <c r="E15" s="3">
        <v>0.52200000000000002</v>
      </c>
      <c r="F15" s="3">
        <v>1.5699999999999999E-2</v>
      </c>
      <c r="G15" s="12">
        <v>0.08</v>
      </c>
      <c r="H15" s="3">
        <v>-0.13819999999999999</v>
      </c>
      <c r="I15" s="3">
        <v>4.9599999999999998E-2</v>
      </c>
      <c r="J15" s="3">
        <v>-0.22209999999999999</v>
      </c>
      <c r="K15" s="12">
        <v>-0.38</v>
      </c>
      <c r="L15" s="3">
        <v>-0.36209999999999998</v>
      </c>
      <c r="M15" s="3">
        <v>0.13400000000000001</v>
      </c>
      <c r="N15" s="3">
        <v>-0.24490000000000001</v>
      </c>
      <c r="O15" s="12">
        <v>-0.17</v>
      </c>
      <c r="P15" s="3">
        <v>-0.46239999999999998</v>
      </c>
      <c r="Q15" s="3">
        <v>0.49299999999999999</v>
      </c>
    </row>
    <row r="16" spans="1:17" ht="18.75" x14ac:dyDescent="0.25">
      <c r="A16" s="16" t="s">
        <v>19</v>
      </c>
      <c r="B16" s="14">
        <v>0.2258</v>
      </c>
      <c r="C16" s="11">
        <v>0.3</v>
      </c>
      <c r="D16" s="3">
        <v>-0.36919999999999997</v>
      </c>
      <c r="E16" s="3">
        <v>0.50870000000000004</v>
      </c>
      <c r="F16" s="3">
        <v>-0.38319999999999999</v>
      </c>
      <c r="G16" s="12">
        <v>-1.19</v>
      </c>
      <c r="H16" s="3">
        <v>-0.40639999999999998</v>
      </c>
      <c r="I16" s="3">
        <v>4.5499999999999999E-2</v>
      </c>
      <c r="J16" s="3">
        <v>-0.41839999999999999</v>
      </c>
      <c r="K16" s="12">
        <v>-0.77</v>
      </c>
      <c r="L16" s="3">
        <v>-0.46250000000000002</v>
      </c>
      <c r="M16" s="3">
        <v>0.1381</v>
      </c>
      <c r="N16" s="3">
        <v>-0.2611</v>
      </c>
      <c r="O16" s="12">
        <v>-0.14000000000000001</v>
      </c>
      <c r="P16" s="3">
        <v>-0.5161</v>
      </c>
      <c r="Q16" s="3">
        <v>0.49380000000000002</v>
      </c>
    </row>
    <row r="17" spans="1:17" ht="18.75" x14ac:dyDescent="0.3">
      <c r="A17" s="15" t="s">
        <v>20</v>
      </c>
      <c r="B17" s="3">
        <v>4.7E-2</v>
      </c>
      <c r="C17" s="11">
        <v>0.16</v>
      </c>
      <c r="D17" s="3">
        <v>-0.3004</v>
      </c>
      <c r="E17" s="3">
        <v>0.49459999999999998</v>
      </c>
      <c r="F17" s="3">
        <v>-1.9E-2</v>
      </c>
      <c r="G17" s="11">
        <v>0.01</v>
      </c>
      <c r="H17" s="3">
        <v>-0.16619999999999999</v>
      </c>
      <c r="I17" s="3">
        <v>5.5E-2</v>
      </c>
      <c r="J17" s="3">
        <v>-0.18290000000000001</v>
      </c>
      <c r="K17" s="11">
        <v>-0.33</v>
      </c>
      <c r="L17" s="3">
        <v>-0.2326</v>
      </c>
      <c r="M17" s="3">
        <v>0.11</v>
      </c>
      <c r="N17" s="3">
        <v>-0.53369999999999995</v>
      </c>
      <c r="O17" s="11">
        <v>0.69</v>
      </c>
      <c r="P17" s="3">
        <v>-0.62050000000000005</v>
      </c>
      <c r="Q17" s="3">
        <v>0.46650000000000003</v>
      </c>
    </row>
    <row r="18" spans="1:17" ht="18.75" x14ac:dyDescent="0.3">
      <c r="A18" s="15" t="s">
        <v>21</v>
      </c>
      <c r="B18" s="3">
        <v>1.9300000000000001E-2</v>
      </c>
      <c r="C18" s="11">
        <v>0.12</v>
      </c>
      <c r="D18" s="3">
        <v>-0.30880000000000002</v>
      </c>
      <c r="E18" s="3">
        <v>0.48470000000000002</v>
      </c>
      <c r="F18" s="3">
        <v>-0.33900000000000002</v>
      </c>
      <c r="G18" s="11">
        <v>-1.06</v>
      </c>
      <c r="H18" s="3">
        <v>-0.35610000000000003</v>
      </c>
      <c r="I18" s="3">
        <v>5.3800000000000001E-2</v>
      </c>
      <c r="J18" s="3">
        <v>-0.36620000000000003</v>
      </c>
      <c r="K18" s="11">
        <v>-0.83</v>
      </c>
      <c r="L18" s="3">
        <v>-0.40679999999999999</v>
      </c>
      <c r="M18" s="3">
        <v>0.1208</v>
      </c>
      <c r="N18" s="3">
        <v>-0.53159999999999996</v>
      </c>
      <c r="O18" s="11">
        <v>-0.69</v>
      </c>
      <c r="P18" s="3">
        <v>-0.58289999999999997</v>
      </c>
      <c r="Q18" s="3">
        <v>0.4698</v>
      </c>
    </row>
    <row r="19" spans="1:17" ht="18.75" x14ac:dyDescent="0.3">
      <c r="A19" s="15" t="s">
        <v>22</v>
      </c>
      <c r="B19" s="3">
        <v>0.90720000000000001</v>
      </c>
      <c r="C19" s="11">
        <v>0.75</v>
      </c>
      <c r="D19" s="3">
        <v>-0.2447</v>
      </c>
      <c r="E19" s="3">
        <v>0.50290000000000001</v>
      </c>
      <c r="F19" s="3">
        <v>-0.31909999999999999</v>
      </c>
      <c r="G19" s="11">
        <v>-1.01</v>
      </c>
      <c r="H19" s="3">
        <v>-0.33800000000000002</v>
      </c>
      <c r="I19" s="3">
        <v>5.0500000000000003E-2</v>
      </c>
      <c r="J19" s="3">
        <v>-0.37390000000000001</v>
      </c>
      <c r="K19" s="11">
        <v>-0.85</v>
      </c>
      <c r="L19" s="3">
        <v>-0.43680000000000002</v>
      </c>
      <c r="M19" s="3">
        <v>0.105</v>
      </c>
      <c r="N19" s="3">
        <v>-7.3800000000000004E-2</v>
      </c>
      <c r="O19" s="11">
        <v>0.02</v>
      </c>
      <c r="P19" s="3">
        <v>-0.29249999999999998</v>
      </c>
      <c r="Q19" s="3">
        <v>0.49790000000000001</v>
      </c>
    </row>
    <row r="20" spans="1:17" ht="18.75" x14ac:dyDescent="0.3">
      <c r="A20" s="15" t="s">
        <v>23</v>
      </c>
      <c r="B20" s="3">
        <v>3.6400000000000002E-2</v>
      </c>
      <c r="C20" s="11">
        <v>0.15</v>
      </c>
      <c r="D20" s="3">
        <v>0.40379999999999999</v>
      </c>
      <c r="E20" s="3">
        <v>0.50119999999999998</v>
      </c>
      <c r="F20" s="3">
        <v>-0.4723</v>
      </c>
      <c r="G20" s="11">
        <v>-1.45</v>
      </c>
      <c r="H20" s="3">
        <v>-0.49020000000000002</v>
      </c>
      <c r="I20" s="3">
        <v>4.2999999999999997E-2</v>
      </c>
      <c r="J20" s="3">
        <v>-0.64759999999999995</v>
      </c>
      <c r="K20" s="11">
        <v>-1.64</v>
      </c>
      <c r="L20" s="3">
        <v>-0.65110000000000001</v>
      </c>
      <c r="M20" s="3">
        <v>0.1497</v>
      </c>
      <c r="N20" s="3">
        <v>-0.1857</v>
      </c>
      <c r="O20" s="11">
        <v>-0.08</v>
      </c>
      <c r="P20" s="3">
        <v>-0.3866</v>
      </c>
      <c r="Q20" s="3">
        <v>0.49709999999999999</v>
      </c>
    </row>
    <row r="21" spans="1:17" ht="18.75" x14ac:dyDescent="0.3">
      <c r="A21" s="15" t="s">
        <v>24</v>
      </c>
      <c r="B21" s="3">
        <v>0.90169999999999995</v>
      </c>
      <c r="C21" s="11">
        <v>0.61</v>
      </c>
      <c r="D21" s="3">
        <v>-0.33360000000000001</v>
      </c>
      <c r="E21" s="3">
        <v>0.51280000000000003</v>
      </c>
      <c r="F21" s="3">
        <v>-0.2001</v>
      </c>
      <c r="G21" s="11">
        <v>-0.43</v>
      </c>
      <c r="H21" s="3">
        <v>-0.2787</v>
      </c>
      <c r="I21" s="3">
        <v>5.62E-2</v>
      </c>
      <c r="J21" s="3">
        <v>-0.53649999999999998</v>
      </c>
      <c r="K21" s="11">
        <v>-1.02</v>
      </c>
      <c r="L21" s="3">
        <v>-0.60170000000000001</v>
      </c>
      <c r="M21" s="3">
        <v>0.1406</v>
      </c>
      <c r="N21" s="3">
        <v>-0.71220000000000006</v>
      </c>
      <c r="O21" s="11">
        <v>-0.77</v>
      </c>
      <c r="P21" s="3">
        <v>-0.75449999999999995</v>
      </c>
      <c r="Q21" s="3">
        <v>0.45240000000000002</v>
      </c>
    </row>
    <row r="22" spans="1:17" ht="18.75" x14ac:dyDescent="0.3">
      <c r="A22" s="15" t="s">
        <v>25</v>
      </c>
      <c r="B22" s="3">
        <v>0.25990000000000002</v>
      </c>
      <c r="C22" s="11">
        <v>0.31</v>
      </c>
      <c r="D22" s="3">
        <v>-0.50629999999999997</v>
      </c>
      <c r="E22" s="3">
        <v>0.50290000000000001</v>
      </c>
      <c r="F22" s="3">
        <v>-0.23519999999999999</v>
      </c>
      <c r="G22" s="11">
        <v>-0.62</v>
      </c>
      <c r="H22" s="3">
        <v>-0.35120000000000001</v>
      </c>
      <c r="I22" s="3">
        <v>5.3800000000000001E-2</v>
      </c>
      <c r="J22" s="3">
        <v>-0.41710000000000003</v>
      </c>
      <c r="K22" s="11">
        <v>-0.76</v>
      </c>
      <c r="L22" s="3">
        <v>-0.49859999999999999</v>
      </c>
      <c r="M22" s="3">
        <v>0.1348</v>
      </c>
      <c r="N22" s="3">
        <v>-7.3099999999999998E-2</v>
      </c>
      <c r="O22" s="11">
        <v>7.0000000000000007E-2</v>
      </c>
      <c r="P22" s="3">
        <v>-0.48620000000000002</v>
      </c>
      <c r="Q22" s="3">
        <v>0.48220000000000002</v>
      </c>
    </row>
    <row r="23" spans="1:17" ht="18.75" x14ac:dyDescent="0.3">
      <c r="A23" s="15" t="s">
        <v>26</v>
      </c>
      <c r="B23" s="3">
        <v>0.69169999999999998</v>
      </c>
      <c r="C23" s="11">
        <v>0.56999999999999995</v>
      </c>
      <c r="D23" s="3">
        <v>-0.3498</v>
      </c>
      <c r="E23" s="3">
        <v>0.51200000000000001</v>
      </c>
      <c r="F23" s="3">
        <v>-0.56230000000000002</v>
      </c>
      <c r="G23" s="11">
        <v>-2.02</v>
      </c>
      <c r="H23" s="3">
        <v>-0.55820000000000003</v>
      </c>
      <c r="I23" s="3">
        <v>3.9699999999999999E-2</v>
      </c>
      <c r="J23" s="3">
        <v>-0.46250000000000002</v>
      </c>
      <c r="K23" s="11">
        <v>-0.91</v>
      </c>
      <c r="L23" s="3">
        <v>-0.51649999999999996</v>
      </c>
      <c r="M23" s="3">
        <v>0.14810000000000001</v>
      </c>
      <c r="N23" s="3">
        <v>0.1166</v>
      </c>
      <c r="O23" s="11">
        <v>0.22</v>
      </c>
      <c r="P23" s="3">
        <v>-0.48759999999999998</v>
      </c>
      <c r="Q23" s="3">
        <v>0.49459999999999998</v>
      </c>
    </row>
    <row r="24" spans="1:17" ht="18.75" x14ac:dyDescent="0.3">
      <c r="A24" s="15" t="s">
        <v>27</v>
      </c>
      <c r="B24" s="3">
        <v>1.9847999999999999</v>
      </c>
      <c r="C24" s="11">
        <v>1.19</v>
      </c>
      <c r="D24" s="3">
        <v>-0.1978</v>
      </c>
      <c r="E24" s="3">
        <v>0.52439999999999998</v>
      </c>
      <c r="F24" s="3">
        <v>-0.1706</v>
      </c>
      <c r="G24" s="11">
        <v>-0.53</v>
      </c>
      <c r="H24" s="3">
        <v>-0.22090000000000001</v>
      </c>
      <c r="I24" s="3">
        <v>5.4600000000000003E-2</v>
      </c>
      <c r="J24" s="3">
        <v>-0.1452</v>
      </c>
      <c r="K24" s="11">
        <v>-0.28999999999999998</v>
      </c>
      <c r="L24" s="3">
        <v>-0.32519999999999999</v>
      </c>
      <c r="M24" s="3">
        <v>0.13980000000000001</v>
      </c>
      <c r="N24" s="3">
        <v>-0.24260000000000001</v>
      </c>
      <c r="O24" s="11">
        <v>-0.18</v>
      </c>
      <c r="P24" s="3">
        <v>-0.3921</v>
      </c>
      <c r="Q24" s="3">
        <v>0.4773</v>
      </c>
    </row>
    <row r="25" spans="1:17" ht="18.75" x14ac:dyDescent="0.3">
      <c r="A25" s="15" t="s">
        <v>28</v>
      </c>
      <c r="B25" s="3">
        <v>1.0451999999999999</v>
      </c>
      <c r="C25" s="11">
        <v>0.72</v>
      </c>
      <c r="D25" s="3">
        <v>-0.28029999999999999</v>
      </c>
      <c r="E25" s="3">
        <v>0.51359999999999995</v>
      </c>
      <c r="F25" s="3">
        <v>-0.4123</v>
      </c>
      <c r="G25" s="11">
        <v>-1.1000000000000001</v>
      </c>
      <c r="H25" s="3">
        <v>-0.47960000000000003</v>
      </c>
      <c r="I25" s="3">
        <v>5.1299999999999998E-2</v>
      </c>
      <c r="J25" s="3">
        <v>-0.154</v>
      </c>
      <c r="K25" s="11">
        <v>-0.18</v>
      </c>
      <c r="L25" s="3">
        <v>-0.23710000000000001</v>
      </c>
      <c r="M25" s="3">
        <v>0.1249</v>
      </c>
      <c r="N25" s="3">
        <v>-0.52370000000000005</v>
      </c>
      <c r="O25" s="11">
        <v>-0.51</v>
      </c>
      <c r="P25" s="3">
        <v>-0.70940000000000003</v>
      </c>
      <c r="Q25" s="3">
        <v>0.48139999999999999</v>
      </c>
    </row>
    <row r="26" spans="1:17" ht="18.75" x14ac:dyDescent="0.3">
      <c r="A26" s="15" t="s">
        <v>29</v>
      </c>
      <c r="B26" s="3">
        <v>1.0772999999999999</v>
      </c>
      <c r="C26" s="11">
        <v>0.77</v>
      </c>
      <c r="D26" s="3">
        <v>-0.24360000000000001</v>
      </c>
      <c r="E26" s="3">
        <v>0.50209999999999999</v>
      </c>
      <c r="F26" s="3">
        <v>-0.46010000000000001</v>
      </c>
      <c r="G26" s="11">
        <v>1.28</v>
      </c>
      <c r="H26" s="3">
        <v>-0.48299999999999998</v>
      </c>
      <c r="I26" s="3">
        <v>4.5499999999999999E-2</v>
      </c>
      <c r="J26" s="3">
        <v>-9.6000000000000002E-2</v>
      </c>
      <c r="K26" s="11">
        <v>-0.1</v>
      </c>
      <c r="L26" s="3">
        <v>-0.24429999999999999</v>
      </c>
      <c r="M26" s="3">
        <v>0.13320000000000001</v>
      </c>
      <c r="N26" s="3">
        <v>-0.62590000000000001</v>
      </c>
      <c r="O26" s="11">
        <v>-0.78</v>
      </c>
      <c r="P26" s="3">
        <v>-0.72350000000000003</v>
      </c>
      <c r="Q26" s="3">
        <v>0.46400000000000002</v>
      </c>
    </row>
    <row r="27" spans="1:17" ht="18.75" x14ac:dyDescent="0.3">
      <c r="A27" s="15" t="s">
        <v>30</v>
      </c>
      <c r="B27" s="3">
        <v>1.5048999999999999</v>
      </c>
      <c r="C27" s="11">
        <v>0.91</v>
      </c>
      <c r="D27" s="3">
        <v>-0.2863</v>
      </c>
      <c r="E27" s="3">
        <v>0.51449999999999996</v>
      </c>
      <c r="F27" s="3">
        <v>-0.28339999999999999</v>
      </c>
      <c r="G27" s="11">
        <v>-0.76</v>
      </c>
      <c r="H27" s="3">
        <v>-0.35870000000000002</v>
      </c>
      <c r="I27" s="3">
        <v>4.0500000000000001E-2</v>
      </c>
      <c r="J27" s="3">
        <v>-0.3795</v>
      </c>
      <c r="K27" s="11">
        <v>-0.69</v>
      </c>
      <c r="L27" s="3">
        <v>-0.43919999999999998</v>
      </c>
      <c r="M27" s="3">
        <v>0.1638</v>
      </c>
      <c r="N27" s="3">
        <v>-0.27689999999999998</v>
      </c>
      <c r="O27" s="11">
        <v>-0.16</v>
      </c>
      <c r="P27" s="3">
        <v>-0.46350000000000002</v>
      </c>
      <c r="Q27" s="3">
        <v>0.48799999999999999</v>
      </c>
    </row>
    <row r="28" spans="1:17" ht="18.75" x14ac:dyDescent="0.3">
      <c r="A28" s="15" t="s">
        <v>35</v>
      </c>
      <c r="B28" s="3">
        <v>1.2169000000000001</v>
      </c>
      <c r="C28" s="11">
        <v>0.82</v>
      </c>
      <c r="D28" s="3">
        <v>-0.36969999999999997</v>
      </c>
      <c r="E28" s="3">
        <v>0.52190000000000003</v>
      </c>
      <c r="F28" s="3">
        <v>-0.3599</v>
      </c>
      <c r="G28" s="11">
        <v>-1.1200000000000001</v>
      </c>
      <c r="H28" s="3">
        <v>-0.3634</v>
      </c>
      <c r="I28" s="3">
        <v>4.9599999999999998E-2</v>
      </c>
      <c r="J28" s="3">
        <v>-0.36770000000000003</v>
      </c>
      <c r="K28" s="11">
        <v>-0.73</v>
      </c>
      <c r="L28" s="3">
        <v>-0.41909999999999997</v>
      </c>
      <c r="M28" s="3">
        <v>0.1241</v>
      </c>
      <c r="N28" s="3">
        <v>-0.64849999999999997</v>
      </c>
      <c r="O28" s="11">
        <v>-0.83</v>
      </c>
      <c r="P28" s="3">
        <v>-0.72660000000000002</v>
      </c>
      <c r="Q28" s="3">
        <v>0.46150000000000002</v>
      </c>
    </row>
    <row r="29" spans="1:17" ht="18.75" x14ac:dyDescent="0.3">
      <c r="A29" s="15" t="s">
        <v>31</v>
      </c>
      <c r="B29" s="3">
        <v>0.38819999999999999</v>
      </c>
      <c r="C29" s="11">
        <v>0.46</v>
      </c>
      <c r="D29" s="3">
        <v>-0.221</v>
      </c>
      <c r="E29" s="3">
        <v>0.51200000000000001</v>
      </c>
      <c r="F29" s="3">
        <v>-0.37730000000000002</v>
      </c>
      <c r="G29" s="11">
        <v>-1.33</v>
      </c>
      <c r="H29" s="3">
        <v>-0.37969999999999998</v>
      </c>
      <c r="I29" s="3">
        <v>4.8000000000000001E-2</v>
      </c>
      <c r="J29" s="3">
        <v>-0.1119</v>
      </c>
      <c r="K29" s="11">
        <v>-0.23</v>
      </c>
      <c r="L29" s="3">
        <v>-0.2077</v>
      </c>
      <c r="M29" s="3">
        <v>0.1232</v>
      </c>
      <c r="N29" s="3">
        <v>-0.58830000000000005</v>
      </c>
      <c r="O29" s="11">
        <v>-0.9</v>
      </c>
      <c r="P29" s="3">
        <v>-0.64929999999999999</v>
      </c>
      <c r="Q29" s="3">
        <v>0.46650000000000003</v>
      </c>
    </row>
    <row r="30" spans="1:17" ht="18.75" x14ac:dyDescent="0.3">
      <c r="A30" s="15" t="s">
        <v>32</v>
      </c>
      <c r="B30" s="3">
        <v>1.6496999999999999</v>
      </c>
      <c r="C30" s="11">
        <v>0.79</v>
      </c>
      <c r="D30" s="3">
        <v>-0.35670000000000002</v>
      </c>
      <c r="E30" s="3">
        <v>0.5161</v>
      </c>
      <c r="F30" s="3">
        <v>-0.10920000000000001</v>
      </c>
      <c r="G30" s="11">
        <v>-0.17</v>
      </c>
      <c r="H30" s="3">
        <v>-0.22889999999999999</v>
      </c>
      <c r="I30" s="3">
        <v>5.1299999999999998E-2</v>
      </c>
      <c r="J30" s="3">
        <v>-0.1648</v>
      </c>
      <c r="K30" s="11">
        <v>-0.15</v>
      </c>
      <c r="L30" s="3">
        <v>-0.38869999999999999</v>
      </c>
      <c r="M30" s="3">
        <v>0.1042</v>
      </c>
      <c r="N30" s="3">
        <v>-0.47599999999999998</v>
      </c>
      <c r="O30" s="11">
        <v>-0.26</v>
      </c>
      <c r="P30" s="3">
        <v>-0.54579999999999995</v>
      </c>
      <c r="Q30" s="3">
        <v>0.47970000000000002</v>
      </c>
    </row>
    <row r="31" spans="1:17" ht="18.75" x14ac:dyDescent="0.3">
      <c r="A31" s="15" t="s">
        <v>33</v>
      </c>
      <c r="B31" s="3">
        <v>1.6043000000000001</v>
      </c>
      <c r="C31" s="11">
        <v>0.88</v>
      </c>
      <c r="D31" s="3">
        <v>-0.31359999999999999</v>
      </c>
      <c r="E31" s="3">
        <v>0.49790000000000001</v>
      </c>
      <c r="F31" s="3">
        <v>-0.11260000000000001</v>
      </c>
      <c r="G31" s="11">
        <v>-0.17</v>
      </c>
      <c r="H31" s="3">
        <v>-0.1694</v>
      </c>
      <c r="I31" s="3">
        <v>5.96E-2</v>
      </c>
      <c r="J31" s="3">
        <v>-0.1077</v>
      </c>
      <c r="K31" s="11">
        <v>-0.13</v>
      </c>
      <c r="L31" s="3">
        <v>-0.2535</v>
      </c>
      <c r="M31" s="3">
        <v>0.10589999999999999</v>
      </c>
      <c r="N31" s="3">
        <v>-0.24709999999999999</v>
      </c>
      <c r="O31" s="11">
        <v>-0.09</v>
      </c>
      <c r="P31" s="3">
        <v>-0.42159999999999997</v>
      </c>
      <c r="Q31" s="3">
        <v>0.46479999999999999</v>
      </c>
    </row>
    <row r="32" spans="1:17" ht="18.75" x14ac:dyDescent="0.3">
      <c r="A32" s="15" t="s">
        <v>34</v>
      </c>
      <c r="B32" s="3">
        <v>2.2978000000000001</v>
      </c>
      <c r="C32" s="11">
        <v>1.08</v>
      </c>
      <c r="D32" s="3">
        <v>-0.32719999999999999</v>
      </c>
      <c r="E32" s="3">
        <v>0.51359999999999995</v>
      </c>
      <c r="F32" s="3">
        <v>0.12909999999999999</v>
      </c>
      <c r="G32" s="11">
        <v>-0.17</v>
      </c>
      <c r="H32" s="3">
        <v>-0.23050000000000001</v>
      </c>
      <c r="I32" s="3">
        <v>6.3700000000000007E-2</v>
      </c>
      <c r="J32" s="3">
        <v>-0.1754</v>
      </c>
      <c r="K32" s="11">
        <v>-0.19</v>
      </c>
      <c r="L32" s="3">
        <v>-0.40450000000000003</v>
      </c>
      <c r="M32" s="3">
        <v>0.11990000000000001</v>
      </c>
      <c r="N32" s="3">
        <v>0.45479999999999998</v>
      </c>
      <c r="O32" s="11">
        <v>0.43</v>
      </c>
      <c r="P32" s="3">
        <v>-0.4405</v>
      </c>
      <c r="Q32" s="3">
        <v>0.47970000000000002</v>
      </c>
    </row>
    <row r="33" spans="1:17" ht="18.75" x14ac:dyDescent="0.3">
      <c r="A33" s="15" t="s">
        <v>36</v>
      </c>
      <c r="B33" s="3">
        <v>4.1193</v>
      </c>
      <c r="C33" s="11">
        <v>1.33</v>
      </c>
      <c r="D33" s="3">
        <v>-0.28089999999999998</v>
      </c>
      <c r="E33" s="3">
        <v>0.52939999999999998</v>
      </c>
      <c r="F33" s="3">
        <v>-0.37359999999999999</v>
      </c>
      <c r="G33" s="11">
        <v>-0.94</v>
      </c>
      <c r="H33" s="3">
        <v>-0.43140000000000001</v>
      </c>
      <c r="I33" s="3">
        <v>5.2900000000000003E-2</v>
      </c>
      <c r="J33" s="3">
        <v>-0.2135</v>
      </c>
      <c r="K33" s="11">
        <v>-0.25</v>
      </c>
      <c r="L33" s="3">
        <v>-0.4592</v>
      </c>
      <c r="M33" s="3">
        <v>0.1522</v>
      </c>
      <c r="N33" s="3">
        <v>-0.26619999999999999</v>
      </c>
      <c r="O33" s="11">
        <v>-0.09</v>
      </c>
      <c r="P33" s="3">
        <v>-0.50560000000000005</v>
      </c>
      <c r="Q33" s="3">
        <v>0.48220000000000002</v>
      </c>
    </row>
    <row r="34" spans="1:17" ht="18.75" x14ac:dyDescent="0.3">
      <c r="A34" s="15" t="s">
        <v>37</v>
      </c>
      <c r="B34" s="3">
        <v>2.1032000000000002</v>
      </c>
      <c r="C34" s="11">
        <v>1.0900000000000001</v>
      </c>
      <c r="D34" s="3">
        <v>-0.2888</v>
      </c>
      <c r="E34" s="3">
        <v>0.5161</v>
      </c>
      <c r="F34" s="3">
        <v>-0.17879999999999999</v>
      </c>
      <c r="G34" s="11">
        <v>-0.37</v>
      </c>
      <c r="H34" s="3">
        <v>-0.26429999999999998</v>
      </c>
      <c r="I34" s="3">
        <v>4.8800000000000003E-2</v>
      </c>
      <c r="J34" s="3">
        <v>-8.4199999999999997E-2</v>
      </c>
      <c r="K34" s="11">
        <v>-0.09</v>
      </c>
      <c r="L34" s="3">
        <v>-0.2293</v>
      </c>
      <c r="M34" s="3">
        <v>0.13070000000000001</v>
      </c>
      <c r="N34" s="3">
        <v>-2.3099999999999999E-2</v>
      </c>
      <c r="O34" s="11">
        <v>0.1</v>
      </c>
      <c r="P34" s="3">
        <v>-0.4929</v>
      </c>
      <c r="Q34" s="3">
        <v>0.49459999999999998</v>
      </c>
    </row>
    <row r="35" spans="1:17" ht="18.75" x14ac:dyDescent="0.3">
      <c r="A35" s="15" t="s">
        <v>38</v>
      </c>
      <c r="B35" s="3">
        <v>0.4945</v>
      </c>
      <c r="C35" s="11">
        <v>0.44</v>
      </c>
      <c r="D35" s="3">
        <v>-0.4657</v>
      </c>
      <c r="E35" s="3">
        <v>0.49299999999999999</v>
      </c>
      <c r="F35" s="3">
        <v>-0.25669999999999998</v>
      </c>
      <c r="G35" s="11">
        <v>-0.6</v>
      </c>
      <c r="H35" s="3">
        <v>-0.29799999999999999</v>
      </c>
      <c r="I35" s="3">
        <v>4.9599999999999998E-2</v>
      </c>
      <c r="J35" s="3">
        <v>-0.33210000000000001</v>
      </c>
      <c r="K35" s="11">
        <v>-0.56000000000000005</v>
      </c>
      <c r="L35" s="3">
        <v>-0.4486</v>
      </c>
      <c r="M35" s="3">
        <v>0.12239999999999999</v>
      </c>
      <c r="N35" s="3">
        <v>4.87E-2</v>
      </c>
      <c r="O35" s="11">
        <v>0.17</v>
      </c>
      <c r="P35" s="3">
        <v>-0.42949999999999999</v>
      </c>
      <c r="Q35" s="3">
        <v>0.49130000000000001</v>
      </c>
    </row>
    <row r="36" spans="1:17" ht="18.75" x14ac:dyDescent="0.3">
      <c r="A36" s="15" t="s">
        <v>39</v>
      </c>
      <c r="B36" s="3">
        <v>3.7134</v>
      </c>
      <c r="C36" s="11">
        <v>0.9</v>
      </c>
      <c r="D36" s="3">
        <v>-0.71450000000000002</v>
      </c>
      <c r="E36" s="3">
        <v>0.52639999999999998</v>
      </c>
      <c r="F36" s="3">
        <v>-0.54890000000000005</v>
      </c>
      <c r="G36" s="11">
        <v>-0.54</v>
      </c>
      <c r="H36" s="3">
        <v>-0.65369999999999995</v>
      </c>
      <c r="I36" s="3">
        <v>5.0299999999999997E-2</v>
      </c>
      <c r="J36" s="3">
        <v>-0.78320000000000001</v>
      </c>
      <c r="K36" s="11">
        <v>-0.69</v>
      </c>
      <c r="L36" s="3">
        <v>-0.85770000000000002</v>
      </c>
      <c r="M36" s="3">
        <v>0.12790000000000001</v>
      </c>
      <c r="N36" s="3">
        <v>2.6434000000000002</v>
      </c>
      <c r="O36" s="11">
        <v>0.78</v>
      </c>
      <c r="P36" s="3">
        <v>-0.4824</v>
      </c>
      <c r="Q36" s="3">
        <v>0.51729999999999998</v>
      </c>
    </row>
    <row r="37" spans="1:17" ht="18.75" x14ac:dyDescent="0.3">
      <c r="A37" s="15" t="s">
        <v>40</v>
      </c>
      <c r="B37" s="3">
        <v>1.9894000000000001</v>
      </c>
      <c r="C37" s="11">
        <v>0.79</v>
      </c>
      <c r="D37" s="3">
        <v>-0.52339999999999998</v>
      </c>
      <c r="E37" s="3">
        <v>0.51400000000000001</v>
      </c>
      <c r="F37" s="3">
        <v>-0.24099999999999999</v>
      </c>
      <c r="G37" s="11">
        <v>-0.17</v>
      </c>
      <c r="H37" s="3">
        <v>-0.49840000000000001</v>
      </c>
      <c r="I37" s="3">
        <v>6.1899999999999997E-2</v>
      </c>
      <c r="J37" s="3">
        <v>-9.7199999999999995E-2</v>
      </c>
      <c r="K37" s="11">
        <v>0.04</v>
      </c>
      <c r="L37" s="3">
        <v>-0.47360000000000002</v>
      </c>
      <c r="M37" s="3">
        <v>0.13039999999999999</v>
      </c>
      <c r="N37" s="3">
        <v>0.81559999999999999</v>
      </c>
      <c r="O37" s="11">
        <v>0.52</v>
      </c>
      <c r="P37" s="3">
        <v>-0.52739999999999998</v>
      </c>
      <c r="Q37" s="3">
        <v>0.50170000000000003</v>
      </c>
    </row>
    <row r="38" spans="1:17" ht="18.75" x14ac:dyDescent="0.3">
      <c r="A38" s="15" t="s">
        <v>41</v>
      </c>
      <c r="B38" s="3">
        <v>2.0615000000000001</v>
      </c>
      <c r="C38" s="11">
        <v>0.96</v>
      </c>
      <c r="D38" s="3">
        <v>-0.38540000000000002</v>
      </c>
      <c r="E38" s="3">
        <v>0.50249999999999995</v>
      </c>
      <c r="F38" s="3">
        <v>-0.42480000000000001</v>
      </c>
      <c r="G38" s="11">
        <v>-0.81</v>
      </c>
      <c r="H38" s="3">
        <v>-0.42609999999999998</v>
      </c>
      <c r="I38" s="3">
        <v>5.1999999999999998E-2</v>
      </c>
      <c r="J38" s="3">
        <v>-0.36199999999999999</v>
      </c>
      <c r="K38" s="11">
        <v>-0.52</v>
      </c>
      <c r="L38" s="3">
        <v>-0.53139999999999998</v>
      </c>
      <c r="M38" s="3">
        <v>0.12620000000000001</v>
      </c>
      <c r="N38" s="3">
        <v>-0.18149999999999999</v>
      </c>
      <c r="O38" s="11">
        <v>-0.01</v>
      </c>
      <c r="P38" s="3">
        <v>-0.57720000000000005</v>
      </c>
      <c r="Q38" s="3">
        <v>0.47849999999999998</v>
      </c>
    </row>
    <row r="39" spans="1:17" ht="18.75" x14ac:dyDescent="0.3">
      <c r="A39" s="15" t="s">
        <v>42</v>
      </c>
      <c r="B39" s="3">
        <v>1.6324000000000001</v>
      </c>
      <c r="C39" s="11">
        <v>0.94</v>
      </c>
      <c r="D39" s="3">
        <v>-0.42309999999999998</v>
      </c>
      <c r="E39" s="3">
        <v>0.52559999999999996</v>
      </c>
      <c r="F39" s="3">
        <v>-0.33939999999999998</v>
      </c>
      <c r="G39" s="11">
        <v>-1</v>
      </c>
      <c r="H39" s="3">
        <v>-0.34860000000000002</v>
      </c>
      <c r="I39" s="3">
        <v>4.7E-2</v>
      </c>
      <c r="J39" s="3">
        <v>-0.61299999999999999</v>
      </c>
      <c r="K39" s="11">
        <v>-1.35</v>
      </c>
      <c r="L39" s="3">
        <v>-0.64239999999999997</v>
      </c>
      <c r="M39" s="3">
        <v>0.1419</v>
      </c>
      <c r="N39" s="3">
        <v>0.33129999999999998</v>
      </c>
      <c r="O39" s="11">
        <v>0.37</v>
      </c>
      <c r="P39" s="3">
        <v>-0.35360000000000003</v>
      </c>
      <c r="Q39" s="3">
        <v>0.49830000000000002</v>
      </c>
    </row>
    <row r="40" spans="1:17" ht="18.75" x14ac:dyDescent="0.3">
      <c r="A40" s="15" t="s">
        <v>43</v>
      </c>
      <c r="B40" s="3">
        <v>1.36</v>
      </c>
      <c r="C40" s="11">
        <v>0.77</v>
      </c>
      <c r="D40" s="3">
        <v>-0.42699999999999999</v>
      </c>
      <c r="E40" s="3">
        <v>0.51070000000000004</v>
      </c>
      <c r="F40" s="3">
        <v>-0.23880000000000001</v>
      </c>
      <c r="G40" s="11">
        <v>-0.5</v>
      </c>
      <c r="H40" s="3">
        <v>-0.34989999999999999</v>
      </c>
      <c r="I40" s="3">
        <v>4.5400000000000003E-2</v>
      </c>
      <c r="J40" s="3">
        <v>-0.47799999999999998</v>
      </c>
      <c r="K40" s="11">
        <v>-0.79</v>
      </c>
      <c r="L40" s="3">
        <v>-0.58809999999999996</v>
      </c>
      <c r="M40" s="3">
        <v>0.1361</v>
      </c>
      <c r="N40" s="3">
        <v>-6.1600000000000002E-2</v>
      </c>
      <c r="O40" s="11">
        <v>0.09</v>
      </c>
      <c r="P40" s="3">
        <v>-0.3871</v>
      </c>
      <c r="Q40" s="3">
        <v>0.48759999999999998</v>
      </c>
    </row>
    <row r="41" spans="1:17" ht="18.75" x14ac:dyDescent="0.3">
      <c r="A41" s="15" t="s">
        <v>44</v>
      </c>
      <c r="B41" s="3">
        <v>8.8567999999999998</v>
      </c>
      <c r="C41" s="11">
        <v>1.61</v>
      </c>
      <c r="D41" s="3">
        <v>-0.27089999999999997</v>
      </c>
      <c r="E41" s="3">
        <v>0.51819999999999999</v>
      </c>
      <c r="F41" s="3">
        <v>-0.36320000000000002</v>
      </c>
      <c r="G41" s="11">
        <v>-0.72</v>
      </c>
      <c r="H41" s="3">
        <v>-0.42070000000000002</v>
      </c>
      <c r="I41" s="3">
        <v>6.1100000000000002E-2</v>
      </c>
      <c r="J41" s="3">
        <v>-0.35949999999999999</v>
      </c>
      <c r="K41" s="11">
        <v>-0.4</v>
      </c>
      <c r="L41" s="3">
        <v>-0.51439999999999997</v>
      </c>
      <c r="M41" s="3">
        <v>0.13370000000000001</v>
      </c>
      <c r="N41" s="3">
        <v>1.5221</v>
      </c>
      <c r="O41" s="11">
        <v>0.75</v>
      </c>
      <c r="P41" s="3">
        <v>-0.36230000000000001</v>
      </c>
      <c r="Q41" s="3">
        <v>0.51070000000000004</v>
      </c>
    </row>
    <row r="42" spans="1:17" ht="18.75" x14ac:dyDescent="0.3">
      <c r="A42" s="15" t="s">
        <v>45</v>
      </c>
      <c r="B42" s="3">
        <v>0.84350000000000003</v>
      </c>
      <c r="C42" s="11">
        <v>0.66</v>
      </c>
      <c r="D42" s="3">
        <v>-0.2651</v>
      </c>
      <c r="E42" s="3">
        <v>0.50829999999999997</v>
      </c>
      <c r="F42" s="3">
        <v>-0.16289999999999999</v>
      </c>
      <c r="G42" s="11">
        <v>-0.34</v>
      </c>
      <c r="H42" s="3">
        <v>-0.26229999999999998</v>
      </c>
      <c r="I42" s="3">
        <v>5.0299999999999997E-2</v>
      </c>
      <c r="J42" s="3">
        <v>-0.15720000000000001</v>
      </c>
      <c r="K42" s="11">
        <v>-0.22</v>
      </c>
      <c r="L42" s="3">
        <v>-0.32079999999999997</v>
      </c>
      <c r="M42" s="3">
        <v>0.1007</v>
      </c>
      <c r="N42" s="3">
        <v>-0.22969999999999999</v>
      </c>
      <c r="O42" s="11">
        <v>-0.12</v>
      </c>
      <c r="P42" s="3">
        <v>-0.41010000000000002</v>
      </c>
      <c r="Q42" s="3">
        <v>0.47360000000000002</v>
      </c>
    </row>
    <row r="43" spans="1:17" ht="18.75" x14ac:dyDescent="0.3">
      <c r="A43" s="15" t="s">
        <v>46</v>
      </c>
      <c r="B43" s="3">
        <v>1.788</v>
      </c>
      <c r="C43" s="11">
        <v>0.86</v>
      </c>
      <c r="D43" s="3">
        <v>-0.34460000000000002</v>
      </c>
      <c r="E43" s="3">
        <v>0.51819999999999999</v>
      </c>
      <c r="F43" s="3">
        <v>-0.25879999999999997</v>
      </c>
      <c r="G43" s="11">
        <v>-0.46</v>
      </c>
      <c r="H43" s="3">
        <v>-0.29549999999999998</v>
      </c>
      <c r="I43" s="3">
        <v>5.6099999999999997E-2</v>
      </c>
      <c r="J43" s="3">
        <v>-0.33489999999999998</v>
      </c>
      <c r="K43" s="11">
        <v>-0.44</v>
      </c>
      <c r="L43" s="3">
        <v>-0.43430000000000002</v>
      </c>
      <c r="M43" s="3">
        <v>0.12620000000000001</v>
      </c>
      <c r="N43" s="3">
        <v>0.1245</v>
      </c>
      <c r="O43" s="11">
        <v>0.23</v>
      </c>
      <c r="P43" s="3">
        <v>-0.57279999999999998</v>
      </c>
      <c r="Q43" s="3">
        <v>0.47699999999999998</v>
      </c>
    </row>
    <row r="44" spans="1:17" ht="18.75" x14ac:dyDescent="0.3">
      <c r="A44" s="15" t="s">
        <v>47</v>
      </c>
      <c r="B44" s="3">
        <v>0.1905</v>
      </c>
      <c r="C44" s="11">
        <v>0.28000000000000003</v>
      </c>
      <c r="D44" s="3">
        <v>-0.33300000000000002</v>
      </c>
      <c r="E44" s="3">
        <v>0.51900000000000002</v>
      </c>
      <c r="F44" s="3">
        <v>-0.37269999999999998</v>
      </c>
      <c r="G44" s="11">
        <v>-1.23</v>
      </c>
      <c r="H44" s="3">
        <v>-0.39939999999999998</v>
      </c>
      <c r="I44" s="3">
        <v>4.7E-2</v>
      </c>
      <c r="J44" s="3">
        <v>-0.36630000000000001</v>
      </c>
      <c r="K44" s="11">
        <v>-0.68</v>
      </c>
      <c r="L44" s="3">
        <v>-0.42130000000000001</v>
      </c>
      <c r="M44" s="3">
        <v>0.1444</v>
      </c>
      <c r="N44" s="3">
        <v>-0.70589999999999997</v>
      </c>
      <c r="O44" s="11">
        <v>-1.07</v>
      </c>
      <c r="P44" s="3">
        <v>-0.7248</v>
      </c>
      <c r="Q44" s="3">
        <v>4.2900000000000001E-2</v>
      </c>
    </row>
    <row r="45" spans="1:17" ht="18.75" x14ac:dyDescent="0.3">
      <c r="A45" s="15" t="s">
        <v>48</v>
      </c>
      <c r="B45" s="3">
        <v>1.831</v>
      </c>
      <c r="C45" s="11">
        <v>0.96</v>
      </c>
      <c r="D45" s="3">
        <v>-0.25919999999999999</v>
      </c>
      <c r="E45" s="3">
        <v>0.4975</v>
      </c>
      <c r="F45" s="3">
        <v>-0.36820000000000003</v>
      </c>
      <c r="G45" s="11">
        <v>-0.98</v>
      </c>
      <c r="H45" s="3">
        <v>-0.3407</v>
      </c>
      <c r="I45" s="3">
        <v>4.9500000000000002E-2</v>
      </c>
      <c r="J45" s="3">
        <v>-0.19159999999999999</v>
      </c>
      <c r="K45" s="11">
        <v>-0.26</v>
      </c>
      <c r="L45" s="3">
        <v>-0.30609999999999998</v>
      </c>
      <c r="M45" s="3">
        <v>0.13780000000000001</v>
      </c>
      <c r="N45" s="3">
        <v>-0.62129999999999996</v>
      </c>
      <c r="O45" s="11">
        <v>-0.65</v>
      </c>
      <c r="P45" s="3">
        <v>-0.69320000000000004</v>
      </c>
      <c r="Q45" s="3">
        <v>0.47189999999999999</v>
      </c>
    </row>
    <row r="46" spans="1:17" ht="18.75" x14ac:dyDescent="0.3">
      <c r="A46" s="15" t="s">
        <v>49</v>
      </c>
      <c r="B46" s="3">
        <v>1.4353</v>
      </c>
      <c r="C46" s="11">
        <v>0.68</v>
      </c>
      <c r="D46" s="3">
        <v>-0.74019999999999997</v>
      </c>
      <c r="E46" s="3">
        <v>0.50619999999999998</v>
      </c>
      <c r="F46" s="3">
        <v>-0.63629999999999998</v>
      </c>
      <c r="G46" s="11">
        <v>-0.88</v>
      </c>
      <c r="H46" s="3">
        <v>-0.6653</v>
      </c>
      <c r="I46" s="3">
        <v>5.8900000000000001E-2</v>
      </c>
      <c r="J46" s="3">
        <v>-0.55100000000000005</v>
      </c>
      <c r="K46" s="11">
        <v>-0.52</v>
      </c>
      <c r="L46" s="3">
        <v>-0.67120000000000002</v>
      </c>
      <c r="M46" s="3">
        <v>0.114</v>
      </c>
      <c r="N46" s="3">
        <v>-0.01</v>
      </c>
      <c r="O46" s="11">
        <v>0.15</v>
      </c>
      <c r="P46" s="3">
        <v>-0.74019999999999997</v>
      </c>
      <c r="Q46" s="3">
        <v>0.50619999999999998</v>
      </c>
    </row>
    <row r="47" spans="1:17" ht="18.75" x14ac:dyDescent="0.3">
      <c r="A47" s="15" t="s">
        <v>50</v>
      </c>
      <c r="B47" s="3">
        <v>1.9515</v>
      </c>
      <c r="C47" s="11">
        <v>1.05</v>
      </c>
      <c r="D47" s="3">
        <v>-0.33019999999999999</v>
      </c>
      <c r="E47" s="3">
        <v>0.53220000000000001</v>
      </c>
      <c r="F47" s="3">
        <v>-0.42349999999999999</v>
      </c>
      <c r="G47" s="11">
        <v>-1.41</v>
      </c>
      <c r="H47" s="3">
        <v>-0.41199999999999998</v>
      </c>
      <c r="I47" s="3">
        <v>4.9500000000000002E-2</v>
      </c>
      <c r="J47" s="3">
        <v>-0.25059999999999999</v>
      </c>
      <c r="K47" s="11">
        <v>-0.45</v>
      </c>
      <c r="L47" s="3">
        <v>-0.39069999999999999</v>
      </c>
      <c r="M47" s="3">
        <v>0.12540000000000001</v>
      </c>
      <c r="N47" s="3">
        <v>-0.11310000000000001</v>
      </c>
      <c r="O47" s="11">
        <v>0.01</v>
      </c>
      <c r="P47" s="3">
        <v>-0.49270000000000003</v>
      </c>
      <c r="Q47" s="3">
        <v>0.48930000000000001</v>
      </c>
    </row>
    <row r="48" spans="1:17" ht="18.75" x14ac:dyDescent="0.3">
      <c r="A48" s="15" t="s">
        <v>51</v>
      </c>
      <c r="B48" s="3">
        <v>0.16089999999999999</v>
      </c>
      <c r="C48" s="11">
        <v>0.25</v>
      </c>
      <c r="D48" s="3">
        <v>-0.3921</v>
      </c>
      <c r="E48" s="3">
        <v>0.49259999999999998</v>
      </c>
      <c r="F48" s="3">
        <v>-0.28970000000000001</v>
      </c>
      <c r="G48" s="11">
        <v>-0.61</v>
      </c>
      <c r="H48" s="3">
        <v>-0.36099999999999999</v>
      </c>
      <c r="I48" s="3">
        <v>5.6099999999999997E-2</v>
      </c>
      <c r="J48" s="3">
        <v>-0.215</v>
      </c>
      <c r="K48" s="11">
        <v>-0.28000000000000003</v>
      </c>
      <c r="L48" s="3">
        <v>-0.36080000000000001</v>
      </c>
      <c r="M48" s="3">
        <v>0.12709999999999999</v>
      </c>
      <c r="N48" s="3">
        <v>-0.64319999999999999</v>
      </c>
      <c r="O48" s="11">
        <v>-0.75</v>
      </c>
      <c r="P48" s="3">
        <v>-0.65900000000000003</v>
      </c>
      <c r="Q48" s="3">
        <v>0.46779999999999999</v>
      </c>
    </row>
    <row r="49" spans="1:17" ht="18.75" x14ac:dyDescent="0.3">
      <c r="A49" s="15" t="s">
        <v>52</v>
      </c>
      <c r="B49" s="3">
        <v>2.3597999999999999</v>
      </c>
      <c r="C49" s="11">
        <v>0.9</v>
      </c>
      <c r="D49" s="3">
        <v>-0.49869999999999998</v>
      </c>
      <c r="E49" s="3">
        <v>0.53380000000000005</v>
      </c>
      <c r="F49" s="3">
        <v>-0.37559999999999999</v>
      </c>
      <c r="G49" s="11">
        <v>-0.66</v>
      </c>
      <c r="H49" s="3">
        <v>-0.36480000000000001</v>
      </c>
      <c r="I49" s="3">
        <v>5.1999999999999998E-2</v>
      </c>
      <c r="J49" s="3">
        <v>-0.24890000000000001</v>
      </c>
      <c r="K49" s="11">
        <v>-0.23</v>
      </c>
      <c r="L49" s="3">
        <v>-0.44030000000000002</v>
      </c>
      <c r="M49" s="3">
        <v>0.12870000000000001</v>
      </c>
      <c r="N49" s="3">
        <v>-7.9100000000000004E-2</v>
      </c>
      <c r="O49" s="11">
        <v>0.12</v>
      </c>
      <c r="P49" s="3">
        <v>-0.58740000000000003</v>
      </c>
      <c r="Q49" s="3">
        <v>0.4975</v>
      </c>
    </row>
    <row r="50" spans="1:17" ht="18.75" x14ac:dyDescent="0.3">
      <c r="A50" s="15" t="s">
        <v>53</v>
      </c>
      <c r="B50" s="3">
        <v>2.4508000000000001</v>
      </c>
      <c r="C50" s="11">
        <v>0.98</v>
      </c>
      <c r="D50" s="3">
        <v>-0.34470000000000001</v>
      </c>
      <c r="E50" s="3">
        <v>0.52390000000000003</v>
      </c>
      <c r="F50" s="3">
        <v>-0.38729999999999998</v>
      </c>
      <c r="G50" s="11">
        <v>-0.97</v>
      </c>
      <c r="H50" s="3">
        <v>-0.43409999999999999</v>
      </c>
      <c r="I50" s="3">
        <v>4.7899999999999998E-2</v>
      </c>
      <c r="J50" s="3">
        <v>-0.3332</v>
      </c>
      <c r="K50" s="11">
        <v>-0.43</v>
      </c>
      <c r="L50" s="3">
        <v>-0.46160000000000001</v>
      </c>
      <c r="M50" s="3">
        <v>0.12620000000000001</v>
      </c>
      <c r="N50" s="3">
        <v>-0.27039999999999997</v>
      </c>
      <c r="O50" s="11">
        <v>-0.06</v>
      </c>
      <c r="P50" s="3">
        <v>-0.72709999999999997</v>
      </c>
      <c r="Q50" s="3">
        <v>0.495</v>
      </c>
    </row>
    <row r="51" spans="1:17" ht="18.75" x14ac:dyDescent="0.3">
      <c r="A51" s="15" t="s">
        <v>54</v>
      </c>
      <c r="B51" s="3">
        <v>1.9622999999999999</v>
      </c>
      <c r="C51" s="11">
        <v>0.91</v>
      </c>
      <c r="D51" s="3">
        <v>-0.31180000000000002</v>
      </c>
      <c r="E51" s="3">
        <v>0.51400000000000001</v>
      </c>
      <c r="F51" s="3">
        <v>-0.23050000000000001</v>
      </c>
      <c r="G51" s="11">
        <v>-0.42</v>
      </c>
      <c r="H51" s="3">
        <v>-0.3619</v>
      </c>
      <c r="I51" s="3">
        <v>5.3600000000000002E-2</v>
      </c>
      <c r="J51" s="3">
        <v>-0.39700000000000002</v>
      </c>
      <c r="K51" s="11">
        <v>-0.6</v>
      </c>
      <c r="L51" s="3">
        <v>-0.49309999999999998</v>
      </c>
      <c r="M51" s="3">
        <v>0.104</v>
      </c>
      <c r="N51" s="3">
        <v>-0.48720000000000002</v>
      </c>
      <c r="O51" s="11">
        <v>-0.32</v>
      </c>
      <c r="P51" s="3">
        <v>-0.74619999999999997</v>
      </c>
      <c r="Q51" s="3">
        <v>0.48270000000000002</v>
      </c>
    </row>
    <row r="52" spans="1:17" ht="18.75" x14ac:dyDescent="0.3">
      <c r="A52" s="15" t="s">
        <v>55</v>
      </c>
      <c r="B52" s="11">
        <v>23.74</v>
      </c>
      <c r="C52" s="11">
        <v>0.45</v>
      </c>
      <c r="D52" s="3">
        <v>-0.48209999999999997</v>
      </c>
      <c r="E52" s="3">
        <v>0.49370000000000003</v>
      </c>
      <c r="F52" s="3">
        <v>-2.4500000000000001E-2</v>
      </c>
      <c r="G52" s="11">
        <v>0</v>
      </c>
      <c r="H52" s="3">
        <v>-0.2026</v>
      </c>
      <c r="I52" s="3">
        <v>6.3100000000000003E-2</v>
      </c>
      <c r="J52" s="3">
        <v>-0.13869999999999999</v>
      </c>
      <c r="K52" s="11">
        <v>-0.23</v>
      </c>
      <c r="L52" s="3">
        <v>-0.29409999999999997</v>
      </c>
      <c r="M52" s="3">
        <v>0.14410000000000001</v>
      </c>
      <c r="N52" s="11">
        <v>27.13</v>
      </c>
      <c r="O52" s="11">
        <v>-0.49</v>
      </c>
      <c r="P52" s="3">
        <v>-0.38170000000000004</v>
      </c>
      <c r="Q52" s="3">
        <v>0.4829</v>
      </c>
    </row>
    <row r="53" spans="1:17" ht="18.75" x14ac:dyDescent="0.3">
      <c r="A53" s="15" t="s">
        <v>56</v>
      </c>
      <c r="B53" s="3">
        <v>7.1585999999999999</v>
      </c>
      <c r="C53" s="11">
        <v>1.38</v>
      </c>
      <c r="D53" s="3">
        <v>-0.25890000000000002</v>
      </c>
      <c r="E53" s="3">
        <v>0.505</v>
      </c>
      <c r="F53" s="3">
        <v>-4.1799999999999997E-2</v>
      </c>
      <c r="G53" s="11">
        <v>0</v>
      </c>
      <c r="H53" s="3">
        <v>-0.2702</v>
      </c>
      <c r="I53" s="3">
        <v>5.28E-2</v>
      </c>
      <c r="J53" s="3">
        <v>4.7899999999999998E-2</v>
      </c>
      <c r="K53" s="11">
        <v>0.15</v>
      </c>
      <c r="L53" s="3">
        <v>-0.28189999999999998</v>
      </c>
      <c r="M53" s="3">
        <v>0.10639999999999999</v>
      </c>
      <c r="N53" s="3">
        <v>-0.19070000000000001</v>
      </c>
      <c r="O53" s="11">
        <v>0.06</v>
      </c>
      <c r="P53" s="3">
        <v>-0.68610000000000004</v>
      </c>
      <c r="Q53" s="3">
        <v>0.47360000000000002</v>
      </c>
    </row>
    <row r="54" spans="1:17" ht="18.75" x14ac:dyDescent="0.3">
      <c r="A54" s="15" t="s">
        <v>57</v>
      </c>
      <c r="B54" s="3">
        <v>1.2661</v>
      </c>
      <c r="C54" s="11">
        <v>0.85</v>
      </c>
      <c r="D54" s="3">
        <v>-0.28160000000000002</v>
      </c>
      <c r="E54" s="3">
        <v>0.51160000000000005</v>
      </c>
      <c r="F54" s="3">
        <v>-0.1116</v>
      </c>
      <c r="G54" s="11">
        <v>-0.25</v>
      </c>
      <c r="H54" s="3">
        <v>-0.16880000000000001</v>
      </c>
      <c r="I54" s="3">
        <v>4.87E-2</v>
      </c>
      <c r="J54" s="3">
        <v>-0.14299999999999999</v>
      </c>
      <c r="K54" s="11">
        <v>-0.21</v>
      </c>
      <c r="L54" s="3">
        <v>-0.26889999999999997</v>
      </c>
      <c r="M54" s="3">
        <v>0.1163</v>
      </c>
      <c r="N54" s="3">
        <v>-0.21240000000000001</v>
      </c>
      <c r="O54" s="11">
        <v>-0.1</v>
      </c>
      <c r="P54" s="3">
        <v>-0.51400000000000001</v>
      </c>
      <c r="Q54" s="3">
        <v>0.48099999999999998</v>
      </c>
    </row>
    <row r="55" spans="1:17" ht="18.75" x14ac:dyDescent="0.3">
      <c r="A55" s="15" t="s">
        <v>58</v>
      </c>
      <c r="B55" s="3">
        <v>2.9996</v>
      </c>
      <c r="C55" s="11">
        <v>0.97</v>
      </c>
      <c r="D55" s="3">
        <v>-0.38650000000000001</v>
      </c>
      <c r="E55" s="3">
        <v>0.51570000000000005</v>
      </c>
      <c r="F55" s="3">
        <v>-0.1358</v>
      </c>
      <c r="G55" s="11">
        <v>-0.17</v>
      </c>
      <c r="H55" s="3">
        <v>-0.30549999999999999</v>
      </c>
      <c r="I55" s="3">
        <v>4.6199999999999998E-2</v>
      </c>
      <c r="J55" s="3">
        <v>7.1499999999999994E-2</v>
      </c>
      <c r="K55" s="11">
        <v>0.17</v>
      </c>
      <c r="L55" s="3">
        <v>-0.2016</v>
      </c>
      <c r="M55" s="3">
        <v>0.11219999999999999</v>
      </c>
      <c r="N55" s="3">
        <v>0.31209999999999999</v>
      </c>
      <c r="O55" s="11">
        <v>0.34</v>
      </c>
      <c r="P55" s="3">
        <v>-0.36959999999999998</v>
      </c>
      <c r="Q55" s="3">
        <v>0.50329999999999997</v>
      </c>
    </row>
    <row r="56" spans="1:17" ht="18.75" x14ac:dyDescent="0.3">
      <c r="A56" s="15" t="s">
        <v>59</v>
      </c>
      <c r="B56" s="3">
        <v>0.97060000000000002</v>
      </c>
      <c r="C56" s="11">
        <v>0.72</v>
      </c>
      <c r="D56" s="3">
        <v>-0.29499999999999998</v>
      </c>
      <c r="E56" s="3">
        <v>0.51490000000000002</v>
      </c>
      <c r="F56" s="3">
        <v>-0.2495</v>
      </c>
      <c r="G56" s="11">
        <v>-0.65</v>
      </c>
      <c r="H56" s="3">
        <v>-0.27450000000000002</v>
      </c>
      <c r="I56" s="3">
        <v>5.45E-2</v>
      </c>
      <c r="J56" s="3">
        <v>-0.34849999999999998</v>
      </c>
      <c r="K56" s="11">
        <v>-0.72</v>
      </c>
      <c r="L56" s="3">
        <v>-0.42959999999999998</v>
      </c>
      <c r="M56" s="3">
        <v>0.1139</v>
      </c>
      <c r="N56" s="3">
        <v>0.15010000000000001</v>
      </c>
      <c r="O56" s="11">
        <v>0.24</v>
      </c>
      <c r="P56" s="3">
        <v>-0.32900000000000001</v>
      </c>
      <c r="Q56" s="3">
        <v>0.4909</v>
      </c>
    </row>
    <row r="57" spans="1:17" ht="18.75" x14ac:dyDescent="0.3">
      <c r="A57" s="15" t="s">
        <v>60</v>
      </c>
      <c r="B57" s="21">
        <v>-8.0799999999999997E-2</v>
      </c>
      <c r="C57" s="11">
        <v>-3.05</v>
      </c>
      <c r="D57" s="3">
        <v>-0.15479999999999999</v>
      </c>
      <c r="E57" s="3">
        <v>0.42859999999999998</v>
      </c>
      <c r="F57" s="3">
        <v>-9.5000000000000001E-2</v>
      </c>
      <c r="G57" s="11">
        <v>-5.07</v>
      </c>
      <c r="H57" s="3">
        <v>-8.5000000000000006E-2</v>
      </c>
      <c r="I57" s="3">
        <v>3.5700000000000003E-2</v>
      </c>
      <c r="J57" s="3">
        <v>-3.85E-2</v>
      </c>
      <c r="K57" s="11">
        <v>-2.84</v>
      </c>
      <c r="L57" s="3">
        <v>-5.67E-2</v>
      </c>
      <c r="M57" s="3">
        <v>7.1400000000000005E-2</v>
      </c>
      <c r="N57" s="3">
        <v>-7.3999999999999996E-2</v>
      </c>
      <c r="O57" s="11">
        <v>-3.57</v>
      </c>
      <c r="P57" s="3">
        <v>-8.2699999999999996E-2</v>
      </c>
      <c r="Q57" s="3">
        <v>0.1071</v>
      </c>
    </row>
    <row r="58" spans="1:17" ht="18.75" x14ac:dyDescent="0.3">
      <c r="A58" s="15" t="s">
        <v>61</v>
      </c>
      <c r="B58" s="3">
        <v>1.6383000000000001</v>
      </c>
      <c r="C58" s="11">
        <v>0.77</v>
      </c>
      <c r="D58" s="3">
        <v>-0.44840000000000002</v>
      </c>
      <c r="E58" s="3">
        <v>0.51570000000000005</v>
      </c>
      <c r="F58" s="3">
        <v>-0.40089999999999998</v>
      </c>
      <c r="G58" s="11">
        <v>-0.77</v>
      </c>
      <c r="H58" s="3">
        <v>-0.4294</v>
      </c>
      <c r="I58" s="3">
        <v>6.1100000000000002E-2</v>
      </c>
      <c r="J58" s="3">
        <v>-0.41270000000000001</v>
      </c>
      <c r="K58" s="11">
        <v>-0.6</v>
      </c>
      <c r="L58" s="3">
        <v>-0.49159999999999998</v>
      </c>
      <c r="M58" s="3">
        <v>0.1411</v>
      </c>
      <c r="N58" s="3">
        <v>-3.9399999999999998E-2</v>
      </c>
      <c r="O58" s="11">
        <v>0.14000000000000001</v>
      </c>
      <c r="P58" s="3">
        <v>-0.52329999999999999</v>
      </c>
      <c r="Q58" s="3">
        <v>0.47110000000000002</v>
      </c>
    </row>
    <row r="59" spans="1:17" ht="18.75" x14ac:dyDescent="0.3">
      <c r="A59" s="15" t="s">
        <v>62</v>
      </c>
      <c r="B59" s="3">
        <v>5.3624000000000001</v>
      </c>
      <c r="C59" s="11">
        <v>1.28</v>
      </c>
      <c r="D59" s="3">
        <v>-0.48460000000000003</v>
      </c>
      <c r="E59" s="3">
        <v>0.52149999999999996</v>
      </c>
      <c r="F59" s="3">
        <v>-0.54590000000000005</v>
      </c>
      <c r="G59" s="11">
        <v>-1.43</v>
      </c>
      <c r="H59" s="3">
        <v>-0.56619999999999993</v>
      </c>
      <c r="I59" s="3">
        <v>5.2000000000000005E-2</v>
      </c>
      <c r="J59" s="3">
        <v>-0.65280000000000005</v>
      </c>
      <c r="K59" s="11">
        <v>-0.97</v>
      </c>
      <c r="L59" s="3">
        <v>-0.70459999999999989</v>
      </c>
      <c r="M59" s="3">
        <v>0.1691</v>
      </c>
      <c r="N59" s="3">
        <v>1.1745000000000001</v>
      </c>
      <c r="O59" s="11">
        <v>0.64</v>
      </c>
      <c r="P59" s="3">
        <v>-0.58099999999999996</v>
      </c>
      <c r="Q59" s="3">
        <v>0.50249999999999995</v>
      </c>
    </row>
    <row r="60" spans="1:17" x14ac:dyDescent="0.25">
      <c r="B60" s="20">
        <f>AVERAGE(B10:B59)</f>
        <v>2.1768540000000001</v>
      </c>
      <c r="C60">
        <f>AVERAGE(C10:C59)</f>
        <v>0.70220000000000027</v>
      </c>
      <c r="D60" s="3">
        <f>AVERAGE(D10:D59)</f>
        <v>-0.33027999999999991</v>
      </c>
      <c r="E60" s="3">
        <f>AVERAGE(E10:E59)</f>
        <v>0.51062199999999991</v>
      </c>
      <c r="F60" s="3">
        <f>AVERAGE(F10:F59)</f>
        <v>-0.27623999999999999</v>
      </c>
      <c r="G60" s="11">
        <f>AVERAGE(G10)</f>
        <v>-0.36</v>
      </c>
      <c r="H60" s="3">
        <f t="shared" ref="H60:Q60" si="0">AVERAGE(H10:H59)</f>
        <v>-0.34444800000000009</v>
      </c>
      <c r="I60" s="3">
        <f t="shared" si="0"/>
        <v>5.0991999999999996E-2</v>
      </c>
      <c r="J60" s="3">
        <f t="shared" si="0"/>
        <v>-0.29030800000000001</v>
      </c>
      <c r="K60" s="11">
        <f t="shared" si="0"/>
        <v>-0.52739999999999998</v>
      </c>
      <c r="L60" s="3">
        <f t="shared" si="0"/>
        <v>-0.40786800000000001</v>
      </c>
      <c r="M60" s="3">
        <f t="shared" si="0"/>
        <v>0.127272</v>
      </c>
      <c r="N60" s="3">
        <f t="shared" si="0"/>
        <v>0.45513799999999988</v>
      </c>
      <c r="O60" s="11">
        <f t="shared" si="0"/>
        <v>-0.178894</v>
      </c>
      <c r="P60" s="3">
        <f t="shared" si="0"/>
        <v>-0.53360799999999986</v>
      </c>
      <c r="Q60" s="3">
        <f t="shared" si="0"/>
        <v>0.46759400000000007</v>
      </c>
    </row>
    <row r="61" spans="1:17" x14ac:dyDescent="0.25">
      <c r="B61" s="19"/>
      <c r="K61" s="12"/>
    </row>
    <row r="62" spans="1:17" x14ac:dyDescent="0.25">
      <c r="B62" s="17"/>
      <c r="K62" s="12"/>
    </row>
    <row r="63" spans="1:17" x14ac:dyDescent="0.25">
      <c r="K63" s="12"/>
    </row>
    <row r="64" spans="1:17" x14ac:dyDescent="0.25">
      <c r="B64" s="17"/>
      <c r="K64" s="12"/>
    </row>
    <row r="65" spans="2:17" x14ac:dyDescent="0.25">
      <c r="B65" s="17"/>
      <c r="K65" s="12"/>
    </row>
    <row r="66" spans="2:17" x14ac:dyDescent="0.25">
      <c r="B66" s="3"/>
      <c r="C66" s="11"/>
      <c r="D66" s="3"/>
      <c r="E66" s="3"/>
      <c r="F66" s="3"/>
      <c r="G66" s="11"/>
      <c r="H66" s="3"/>
      <c r="I66" s="3"/>
      <c r="J66" s="3"/>
      <c r="K66" s="11"/>
      <c r="L66" s="3"/>
      <c r="M66" s="3"/>
      <c r="N66" s="3"/>
      <c r="O66" s="11"/>
      <c r="P66" s="3"/>
      <c r="Q66" s="3"/>
    </row>
    <row r="67" spans="2:17" x14ac:dyDescent="0.25">
      <c r="B67" s="3"/>
      <c r="C67" s="11"/>
      <c r="D67" s="3"/>
      <c r="E67" s="3"/>
      <c r="F67" s="3"/>
      <c r="G67" s="11"/>
      <c r="H67" s="3"/>
      <c r="I67" s="3"/>
      <c r="J67" s="3"/>
      <c r="K67" s="11"/>
      <c r="L67" s="3"/>
      <c r="M67" s="3"/>
      <c r="N67" s="3"/>
      <c r="O67" s="11"/>
      <c r="P67" s="3"/>
      <c r="Q67" s="3"/>
    </row>
    <row r="68" spans="2:17" x14ac:dyDescent="0.25">
      <c r="B68" s="17"/>
      <c r="K68" s="12"/>
    </row>
    <row r="69" spans="2:17" x14ac:dyDescent="0.25">
      <c r="B69" s="17"/>
      <c r="K69" s="12"/>
    </row>
    <row r="70" spans="2:17" x14ac:dyDescent="0.25">
      <c r="B70" s="17"/>
      <c r="K70" s="12"/>
    </row>
    <row r="71" spans="2:17" x14ac:dyDescent="0.25">
      <c r="B71" s="17"/>
      <c r="K71" s="12"/>
    </row>
    <row r="72" spans="2:17" x14ac:dyDescent="0.25">
      <c r="B72" s="17"/>
      <c r="K72" s="12"/>
    </row>
    <row r="73" spans="2:17" x14ac:dyDescent="0.25">
      <c r="B73" s="17"/>
      <c r="K73" s="12"/>
    </row>
    <row r="74" spans="2:17" x14ac:dyDescent="0.25">
      <c r="B74" s="17"/>
      <c r="K74" s="12"/>
    </row>
    <row r="75" spans="2:17" x14ac:dyDescent="0.25">
      <c r="B75" s="17"/>
      <c r="K75" s="12"/>
    </row>
    <row r="76" spans="2:17" x14ac:dyDescent="0.25">
      <c r="B76" s="17"/>
      <c r="K76" s="12"/>
    </row>
    <row r="77" spans="2:17" x14ac:dyDescent="0.25">
      <c r="B77" s="17"/>
      <c r="K77" s="12"/>
    </row>
    <row r="78" spans="2:17" x14ac:dyDescent="0.25">
      <c r="B78" s="17"/>
      <c r="K78" s="12"/>
    </row>
    <row r="79" spans="2:17" x14ac:dyDescent="0.25">
      <c r="B79" s="17"/>
      <c r="K79" s="12"/>
    </row>
    <row r="80" spans="2:17" x14ac:dyDescent="0.25">
      <c r="B80" s="17"/>
      <c r="K80" s="12"/>
    </row>
    <row r="81" spans="1:11" x14ac:dyDescent="0.25">
      <c r="B81" s="17"/>
      <c r="K81" s="12"/>
    </row>
    <row r="82" spans="1:11" x14ac:dyDescent="0.25">
      <c r="B82" s="17"/>
      <c r="K82" s="12"/>
    </row>
    <row r="83" spans="1:11" x14ac:dyDescent="0.25">
      <c r="B83" s="17"/>
      <c r="K83" s="12"/>
    </row>
    <row r="84" spans="1:11" x14ac:dyDescent="0.25">
      <c r="B84" s="17"/>
      <c r="K84" s="12"/>
    </row>
    <row r="85" spans="1:11" x14ac:dyDescent="0.25">
      <c r="B85" s="17"/>
      <c r="K85" s="12"/>
    </row>
    <row r="86" spans="1:11" x14ac:dyDescent="0.25">
      <c r="B86" s="17"/>
      <c r="K86" s="12"/>
    </row>
    <row r="87" spans="1:11" x14ac:dyDescent="0.25">
      <c r="A87" s="18"/>
      <c r="B87" s="17"/>
      <c r="K87" s="12"/>
    </row>
    <row r="88" spans="1:11" x14ac:dyDescent="0.25">
      <c r="B88" s="17"/>
      <c r="K88" s="12"/>
    </row>
    <row r="89" spans="1:11" x14ac:dyDescent="0.25">
      <c r="B89" s="17"/>
      <c r="K89" s="12"/>
    </row>
    <row r="90" spans="1:11" x14ac:dyDescent="0.25">
      <c r="B90" s="17"/>
      <c r="K90" s="12"/>
    </row>
    <row r="91" spans="1:11" x14ac:dyDescent="0.25">
      <c r="B91" s="17"/>
      <c r="K91" s="12"/>
    </row>
    <row r="92" spans="1:11" x14ac:dyDescent="0.25">
      <c r="B92" s="17"/>
      <c r="K92" s="12"/>
    </row>
    <row r="93" spans="1:11" x14ac:dyDescent="0.25">
      <c r="B93" s="17"/>
      <c r="K93" s="12"/>
    </row>
    <row r="94" spans="1:11" x14ac:dyDescent="0.25">
      <c r="B94" s="17"/>
      <c r="K94" s="12"/>
    </row>
    <row r="95" spans="1:11" x14ac:dyDescent="0.25">
      <c r="B95" s="17"/>
      <c r="K95" s="12"/>
    </row>
    <row r="96" spans="1:11" x14ac:dyDescent="0.25">
      <c r="B96" s="17"/>
      <c r="K96" s="12"/>
    </row>
    <row r="97" spans="2:11" x14ac:dyDescent="0.25">
      <c r="B97" s="17"/>
      <c r="K97" s="12"/>
    </row>
    <row r="98" spans="2:11" x14ac:dyDescent="0.25">
      <c r="B98" s="17"/>
      <c r="K98" s="12"/>
    </row>
    <row r="99" spans="2:11" x14ac:dyDescent="0.25">
      <c r="B99" s="17"/>
      <c r="K99" s="12"/>
    </row>
    <row r="100" spans="2:11" x14ac:dyDescent="0.25">
      <c r="B100" s="17"/>
      <c r="K100" s="12"/>
    </row>
    <row r="101" spans="2:11" x14ac:dyDescent="0.25">
      <c r="B101" s="17"/>
      <c r="K101" s="12"/>
    </row>
    <row r="102" spans="2:11" x14ac:dyDescent="0.25">
      <c r="B102" s="17"/>
      <c r="K102" s="12"/>
    </row>
    <row r="103" spans="2:11" x14ac:dyDescent="0.25">
      <c r="B103" s="17"/>
    </row>
    <row r="104" spans="2:11" x14ac:dyDescent="0.25">
      <c r="B104" s="17"/>
    </row>
    <row r="105" spans="2:11" x14ac:dyDescent="0.25">
      <c r="B105" s="17"/>
    </row>
    <row r="106" spans="2:11" x14ac:dyDescent="0.25">
      <c r="B106" s="17"/>
    </row>
    <row r="107" spans="2:11" x14ac:dyDescent="0.25">
      <c r="B107" s="17"/>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dc:creator>
  <cp:lastModifiedBy>Kris</cp:lastModifiedBy>
  <dcterms:created xsi:type="dcterms:W3CDTF">2025-11-17T17:38:28Z</dcterms:created>
  <dcterms:modified xsi:type="dcterms:W3CDTF">2025-12-13T21:08:42Z</dcterms:modified>
</cp:coreProperties>
</file>